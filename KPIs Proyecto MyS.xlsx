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ocumentos\Cursos de la U\Modelación y simulación\Carpeta de proyecto\Proyecto-Modelacion-y-Simulacion\"/>
    </mc:Choice>
  </mc:AlternateContent>
  <xr:revisionPtr revIDLastSave="0" documentId="13_ncr:1_{515BA21E-454D-4429-8C50-E971D31B8672}" xr6:coauthVersionLast="47" xr6:coauthVersionMax="47" xr10:uidLastSave="{00000000-0000-0000-0000-000000000000}"/>
  <bookViews>
    <workbookView xWindow="-108" yWindow="-108" windowWidth="23256" windowHeight="12456" firstSheet="4" activeTab="4" xr2:uid="{A5EBCF67-69E8-4B48-A2E3-45C028B127E5}"/>
  </bookViews>
  <sheets>
    <sheet name="Escenario Base" sheetId="2" r:id="rId1"/>
    <sheet name="Escenario1" sheetId="6" r:id="rId2"/>
    <sheet name="Escenario 2" sheetId="3" r:id="rId3"/>
    <sheet name="Escenario 3" sheetId="4" r:id="rId4"/>
    <sheet name="Tabla Resume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3" i="2" l="1"/>
  <c r="G53" i="6"/>
  <c r="Q12" i="6" s="1"/>
  <c r="R13" i="6" s="1"/>
  <c r="C9" i="6"/>
  <c r="Q11" i="6"/>
  <c r="E14" i="5"/>
  <c r="E12" i="5"/>
  <c r="C7" i="6"/>
  <c r="M15" i="6"/>
  <c r="C6" i="6"/>
  <c r="D36" i="6"/>
  <c r="C5" i="6"/>
  <c r="D24" i="6"/>
  <c r="E17" i="5"/>
  <c r="F17" i="5"/>
  <c r="G17" i="5"/>
  <c r="D17" i="5"/>
  <c r="C8" i="6"/>
  <c r="E9" i="5"/>
  <c r="E8" i="5"/>
  <c r="E7" i="5"/>
  <c r="E6" i="5"/>
  <c r="E5" i="5"/>
  <c r="E15" i="5"/>
  <c r="F15" i="5"/>
  <c r="G15" i="5"/>
  <c r="D15" i="5"/>
  <c r="E4" i="5"/>
  <c r="E3" i="5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D12" i="2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F9" i="3"/>
  <c r="D4" i="3"/>
  <c r="E16" i="5"/>
  <c r="G16" i="5"/>
  <c r="F16" i="5"/>
  <c r="O11" i="6"/>
  <c r="E11" i="5" s="1"/>
  <c r="P11" i="6"/>
  <c r="F14" i="5"/>
  <c r="G14" i="5"/>
  <c r="C8" i="4"/>
  <c r="C7" i="4"/>
  <c r="G8" i="5" s="1"/>
  <c r="C6" i="4"/>
  <c r="C5" i="4"/>
  <c r="G6" i="5" s="1"/>
  <c r="C8" i="3"/>
  <c r="C7" i="3"/>
  <c r="E6" i="3"/>
  <c r="C6" i="3"/>
  <c r="F7" i="5"/>
  <c r="E5" i="3"/>
  <c r="C5" i="3"/>
  <c r="F6" i="5" s="1"/>
  <c r="P11" i="2"/>
  <c r="C8" i="2"/>
  <c r="D9" i="5" s="1"/>
  <c r="C7" i="2"/>
  <c r="C6" i="2"/>
  <c r="C5" i="2"/>
  <c r="D6" i="5" s="1"/>
  <c r="R13" i="2"/>
  <c r="D12" i="5" s="1"/>
  <c r="D4" i="5"/>
  <c r="D5" i="5"/>
  <c r="D7" i="5"/>
  <c r="D8" i="5"/>
  <c r="D3" i="5"/>
  <c r="T12" i="3"/>
  <c r="F12" i="5" s="1"/>
  <c r="F9" i="5"/>
  <c r="F8" i="5"/>
  <c r="F4" i="5"/>
  <c r="F5" i="5"/>
  <c r="F3" i="5"/>
  <c r="S11" i="3"/>
  <c r="R11" i="3"/>
  <c r="Q11" i="3"/>
  <c r="C12" i="4"/>
  <c r="G12" i="5" s="1"/>
  <c r="G4" i="5"/>
  <c r="G5" i="5"/>
  <c r="G7" i="5"/>
  <c r="G9" i="5"/>
  <c r="G3" i="5"/>
  <c r="T11" i="4"/>
  <c r="S11" i="4"/>
  <c r="S9" i="4" s="1"/>
  <c r="R11" i="4"/>
  <c r="R9" i="4" s="1"/>
  <c r="I9" i="4"/>
  <c r="F9" i="4"/>
  <c r="G9" i="4"/>
  <c r="H9" i="4"/>
  <c r="J9" i="4"/>
  <c r="K9" i="4"/>
  <c r="L9" i="4"/>
  <c r="M9" i="4"/>
  <c r="N9" i="4"/>
  <c r="O9" i="4"/>
  <c r="P9" i="4"/>
  <c r="Q9" i="4"/>
  <c r="E9" i="4"/>
  <c r="D4" i="4"/>
  <c r="Q11" i="2"/>
  <c r="E10" i="5" l="1"/>
  <c r="D16" i="5"/>
  <c r="D14" i="5"/>
  <c r="U11" i="4"/>
  <c r="C9" i="4" s="1"/>
  <c r="G10" i="5" s="1"/>
  <c r="T9" i="4"/>
  <c r="T11" i="3"/>
  <c r="F11" i="5" s="1"/>
  <c r="R11" i="2"/>
  <c r="C11" i="4" l="1"/>
  <c r="G11" i="5" s="1"/>
  <c r="C9" i="3"/>
  <c r="F10" i="5" s="1"/>
  <c r="U9" i="4"/>
  <c r="C9" i="2"/>
  <c r="D10" i="5" s="1"/>
  <c r="D11" i="5"/>
  <c r="E13" i="5" l="1"/>
  <c r="F13" i="5"/>
  <c r="G13" i="5"/>
  <c r="D11" i="4"/>
</calcChain>
</file>

<file path=xl/sharedStrings.xml><?xml version="1.0" encoding="utf-8"?>
<sst xmlns="http://schemas.openxmlformats.org/spreadsheetml/2006/main" count="158" uniqueCount="70">
  <si>
    <t>#</t>
  </si>
  <si>
    <t>KPIs</t>
  </si>
  <si>
    <t>Número total que ingresan</t>
  </si>
  <si>
    <t>Número total que salen del sistema</t>
  </si>
  <si>
    <t>Tiempo promedio total en el sistema (horas)</t>
  </si>
  <si>
    <t>Longitud promedio de cola Dulcería</t>
  </si>
  <si>
    <t>Longitud máx de cola dulcería</t>
  </si>
  <si>
    <t>Longitud promedio de cola Ticketera</t>
  </si>
  <si>
    <t>Longitu máx de cola Ticketera</t>
  </si>
  <si>
    <t xml:space="preserve">Indice de congestion ((Tiempo total en cola /Tiempo prom en el sistema) * 100) </t>
  </si>
  <si>
    <t>AuxiliarDulceria1</t>
  </si>
  <si>
    <t>AuxiliarDulceria2</t>
  </si>
  <si>
    <t>AuxiliarDulceria3</t>
  </si>
  <si>
    <t>AuxiliarTicket1</t>
  </si>
  <si>
    <t>AuxiliarTicket2</t>
  </si>
  <si>
    <t>Complementos</t>
  </si>
  <si>
    <t>CompraTicket1</t>
  </si>
  <si>
    <t>CompraTicket2</t>
  </si>
  <si>
    <t>Dulcería1</t>
  </si>
  <si>
    <t>Dulcería2</t>
  </si>
  <si>
    <t>Dulceria3</t>
  </si>
  <si>
    <t>Revision</t>
  </si>
  <si>
    <t>Prom Ticketera</t>
  </si>
  <si>
    <t>Prom Dulceria</t>
  </si>
  <si>
    <t>Total</t>
  </si>
  <si>
    <t xml:space="preserve">Tiempo promedio de espera en cola </t>
  </si>
  <si>
    <t>Horas</t>
  </si>
  <si>
    <t>Minutos</t>
  </si>
  <si>
    <t>Utilización de Servidores</t>
  </si>
  <si>
    <t>9.32 min</t>
  </si>
  <si>
    <t>2 personas</t>
  </si>
  <si>
    <t>Tiempo promedio de espera en cola (Horas)</t>
  </si>
  <si>
    <t>utilización</t>
  </si>
  <si>
    <t>55% utilización del sistema</t>
  </si>
  <si>
    <t xml:space="preserve">promedio. </t>
  </si>
  <si>
    <t>Com</t>
  </si>
  <si>
    <t>Revi</t>
  </si>
  <si>
    <t>Prom Ticket</t>
  </si>
  <si>
    <t>Prom Dul</t>
  </si>
  <si>
    <t>min</t>
  </si>
  <si>
    <t>En linea</t>
  </si>
  <si>
    <t>DulceriaConTicket1</t>
  </si>
  <si>
    <t>DulceriaConTicket2</t>
  </si>
  <si>
    <t>Prom DulceriaLinea</t>
  </si>
  <si>
    <t>-</t>
  </si>
  <si>
    <t>minutos</t>
  </si>
  <si>
    <t>Indice de congestion (Tiempo total en cola /Tiempo prom en el sistema)</t>
  </si>
  <si>
    <t>Complemet1</t>
  </si>
  <si>
    <t>Complement2</t>
  </si>
  <si>
    <t>Ticket1</t>
  </si>
  <si>
    <t>Ticket2</t>
  </si>
  <si>
    <t>Ticket 3</t>
  </si>
  <si>
    <t>Ticket4</t>
  </si>
  <si>
    <t>Dulceria1</t>
  </si>
  <si>
    <t>Dulceria2</t>
  </si>
  <si>
    <t>Dulceria4</t>
  </si>
  <si>
    <t>Dulceria5</t>
  </si>
  <si>
    <t>Dulceria6</t>
  </si>
  <si>
    <t>Prom Complet</t>
  </si>
  <si>
    <t>Escenario Base</t>
  </si>
  <si>
    <t>Escenario 1</t>
  </si>
  <si>
    <t>Escenario 2</t>
  </si>
  <si>
    <t>Escenario 3</t>
  </si>
  <si>
    <t>Indice de congestion</t>
  </si>
  <si>
    <t>Reducción de tiempo de espera</t>
  </si>
  <si>
    <t>Eficiencia de atención</t>
  </si>
  <si>
    <t>Producción por hora</t>
  </si>
  <si>
    <t>Clientes/hora</t>
  </si>
  <si>
    <t>Productividad por trabajador</t>
  </si>
  <si>
    <t xml:space="preserve">Ganancias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</si>
</sst>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[$GTQ]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166" fontId="0" fillId="0" borderId="1" xfId="0" applyNumberFormat="1" applyBorder="1"/>
    <xf numFmtId="10" fontId="0" fillId="0" borderId="2" xfId="1" applyNumberFormat="1" applyFont="1" applyBorder="1"/>
    <xf numFmtId="0" fontId="0" fillId="0" borderId="5" xfId="0" applyBorder="1"/>
    <xf numFmtId="0" fontId="0" fillId="0" borderId="4" xfId="0" applyBorder="1"/>
    <xf numFmtId="9" fontId="0" fillId="0" borderId="1" xfId="1" applyFont="1" applyBorder="1"/>
    <xf numFmtId="10" fontId="0" fillId="0" borderId="1" xfId="1" applyNumberFormat="1" applyFont="1" applyBorder="1"/>
    <xf numFmtId="0" fontId="0" fillId="0" borderId="6" xfId="0" applyBorder="1"/>
    <xf numFmtId="10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12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0" fontId="0" fillId="0" borderId="16" xfId="0" applyBorder="1"/>
    <xf numFmtId="165" fontId="0" fillId="0" borderId="1" xfId="0" applyNumberFormat="1" applyBorder="1"/>
    <xf numFmtId="165" fontId="0" fillId="0" borderId="5" xfId="0" applyNumberFormat="1" applyBorder="1"/>
    <xf numFmtId="0" fontId="0" fillId="0" borderId="0" xfId="0" applyAlignment="1">
      <alignment horizontal="right"/>
    </xf>
    <xf numFmtId="1" fontId="0" fillId="0" borderId="1" xfId="0" applyNumberFormat="1" applyBorder="1"/>
    <xf numFmtId="10" fontId="0" fillId="0" borderId="0" xfId="1" applyNumberFormat="1" applyFont="1"/>
    <xf numFmtId="10" fontId="0" fillId="0" borderId="2" xfId="1" applyNumberFormat="1" applyFont="1" applyFill="1" applyBorder="1"/>
    <xf numFmtId="10" fontId="0" fillId="0" borderId="15" xfId="0" applyNumberFormat="1" applyBorder="1"/>
    <xf numFmtId="10" fontId="0" fillId="0" borderId="1" xfId="1" applyNumberFormat="1" applyFont="1" applyBorder="1" applyAlignment="1"/>
    <xf numFmtId="0" fontId="0" fillId="0" borderId="19" xfId="0" applyBorder="1"/>
    <xf numFmtId="167" fontId="0" fillId="0" borderId="19" xfId="0" applyNumberFormat="1" applyBorder="1"/>
    <xf numFmtId="0" fontId="0" fillId="0" borderId="18" xfId="0" applyBorder="1"/>
    <xf numFmtId="0" fontId="0" fillId="2" borderId="1" xfId="0" applyFill="1" applyBorder="1"/>
    <xf numFmtId="2" fontId="0" fillId="2" borderId="1" xfId="0" applyNumberFormat="1" applyFill="1" applyBorder="1"/>
    <xf numFmtId="1" fontId="0" fillId="2" borderId="1" xfId="0" applyNumberFormat="1" applyFill="1" applyBorder="1"/>
    <xf numFmtId="10" fontId="0" fillId="2" borderId="1" xfId="1" applyNumberFormat="1" applyFont="1" applyFill="1" applyBorder="1"/>
    <xf numFmtId="0" fontId="0" fillId="3" borderId="1" xfId="0" applyFill="1" applyBorder="1"/>
    <xf numFmtId="9" fontId="0" fillId="2" borderId="1" xfId="0" applyNumberFormat="1" applyFill="1" applyBorder="1"/>
    <xf numFmtId="10" fontId="0" fillId="2" borderId="1" xfId="1" applyNumberFormat="1" applyFont="1" applyFill="1" applyBorder="1" applyAlignment="1"/>
    <xf numFmtId="1" fontId="0" fillId="0" borderId="2" xfId="0" applyNumberFormat="1" applyBorder="1"/>
    <xf numFmtId="1" fontId="0" fillId="2" borderId="2" xfId="0" applyNumberFormat="1" applyFill="1" applyBorder="1"/>
    <xf numFmtId="167" fontId="0" fillId="2" borderId="19" xfId="0" applyNumberFormat="1" applyFill="1" applyBorder="1"/>
    <xf numFmtId="0" fontId="3" fillId="0" borderId="0" xfId="0" applyFont="1" applyAlignment="1">
      <alignment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14</xdr:row>
      <xdr:rowOff>19050</xdr:rowOff>
    </xdr:from>
    <xdr:to>
      <xdr:col>3</xdr:col>
      <xdr:colOff>414236</xdr:colOff>
      <xdr:row>18</xdr:row>
      <xdr:rowOff>78215</xdr:rowOff>
    </xdr:to>
    <xdr:pic>
      <xdr:nvPicPr>
        <xdr:cNvPr id="31" name="Imagen 13">
          <a:extLst>
            <a:ext uri="{FF2B5EF4-FFF2-40B4-BE49-F238E27FC236}">
              <a16:creationId xmlns:a16="http://schemas.microsoft.com/office/drawing/2014/main" id="{1EF1E338-0268-29C7-7E8A-472E8184B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2552700"/>
          <a:ext cx="6096851" cy="77925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</xdr:row>
      <xdr:rowOff>19050</xdr:rowOff>
    </xdr:from>
    <xdr:to>
      <xdr:col>3</xdr:col>
      <xdr:colOff>427574</xdr:colOff>
      <xdr:row>21</xdr:row>
      <xdr:rowOff>43870</xdr:rowOff>
    </xdr:to>
    <xdr:pic>
      <xdr:nvPicPr>
        <xdr:cNvPr id="33" name="Imagen 14">
          <a:extLst>
            <a:ext uri="{FF2B5EF4-FFF2-40B4-BE49-F238E27FC236}">
              <a16:creationId xmlns:a16="http://schemas.microsoft.com/office/drawing/2014/main" id="{1FBA1AAA-F8CC-1C13-F481-CE72CB74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3457575"/>
          <a:ext cx="6113999" cy="382960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</xdr:colOff>
      <xdr:row>22</xdr:row>
      <xdr:rowOff>19050</xdr:rowOff>
    </xdr:from>
    <xdr:to>
      <xdr:col>3</xdr:col>
      <xdr:colOff>543786</xdr:colOff>
      <xdr:row>25</xdr:row>
      <xdr:rowOff>15313</xdr:rowOff>
    </xdr:to>
    <xdr:pic>
      <xdr:nvPicPr>
        <xdr:cNvPr id="35" name="Imagen 15">
          <a:extLst>
            <a:ext uri="{FF2B5EF4-FFF2-40B4-BE49-F238E27FC236}">
              <a16:creationId xmlns:a16="http://schemas.microsoft.com/office/drawing/2014/main" id="{844632C2-E7E9-9A08-053E-A19E5144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480" y="4000500"/>
          <a:ext cx="6182586" cy="533473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</xdr:colOff>
      <xdr:row>26</xdr:row>
      <xdr:rowOff>171450</xdr:rowOff>
    </xdr:from>
    <xdr:to>
      <xdr:col>3</xdr:col>
      <xdr:colOff>538074</xdr:colOff>
      <xdr:row>35</xdr:row>
      <xdr:rowOff>40214</xdr:rowOff>
    </xdr:to>
    <xdr:pic>
      <xdr:nvPicPr>
        <xdr:cNvPr id="37" name="Imagen 16">
          <a:extLst>
            <a:ext uri="{FF2B5EF4-FFF2-40B4-BE49-F238E27FC236}">
              <a16:creationId xmlns:a16="http://schemas.microsoft.com/office/drawing/2014/main" id="{73D2C0B1-0884-24EB-FC9E-BA76FD5A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7290" y="4876800"/>
          <a:ext cx="6174969" cy="149372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35</xdr:row>
      <xdr:rowOff>38100</xdr:rowOff>
    </xdr:from>
    <xdr:to>
      <xdr:col>3</xdr:col>
      <xdr:colOff>538073</xdr:colOff>
      <xdr:row>43</xdr:row>
      <xdr:rowOff>74504</xdr:rowOff>
    </xdr:to>
    <xdr:pic>
      <xdr:nvPicPr>
        <xdr:cNvPr id="38" name="Imagen 17">
          <a:extLst>
            <a:ext uri="{FF2B5EF4-FFF2-40B4-BE49-F238E27FC236}">
              <a16:creationId xmlns:a16="http://schemas.microsoft.com/office/drawing/2014/main" id="{13FB53B1-4D11-5FB1-3E57-14DC4594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2050" y="6372225"/>
          <a:ext cx="6188303" cy="1484204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</xdr:colOff>
      <xdr:row>14</xdr:row>
      <xdr:rowOff>34290</xdr:rowOff>
    </xdr:from>
    <xdr:to>
      <xdr:col>12</xdr:col>
      <xdr:colOff>332329</xdr:colOff>
      <xdr:row>20</xdr:row>
      <xdr:rowOff>15389</xdr:rowOff>
    </xdr:to>
    <xdr:pic>
      <xdr:nvPicPr>
        <xdr:cNvPr id="32" name="Imagen 18">
          <a:extLst>
            <a:ext uri="{FF2B5EF4-FFF2-40B4-BE49-F238E27FC236}">
              <a16:creationId xmlns:a16="http://schemas.microsoft.com/office/drawing/2014/main" id="{54DFCF52-EBB4-D32E-3AA1-94C55172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46870" y="2567940"/>
          <a:ext cx="6155914" cy="1063139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</xdr:colOff>
      <xdr:row>20</xdr:row>
      <xdr:rowOff>74295</xdr:rowOff>
    </xdr:from>
    <xdr:to>
      <xdr:col>12</xdr:col>
      <xdr:colOff>366625</xdr:colOff>
      <xdr:row>26</xdr:row>
      <xdr:rowOff>15381</xdr:rowOff>
    </xdr:to>
    <xdr:pic>
      <xdr:nvPicPr>
        <xdr:cNvPr id="34" name="Imagen 19">
          <a:extLst>
            <a:ext uri="{FF2B5EF4-FFF2-40B4-BE49-F238E27FC236}">
              <a16:creationId xmlns:a16="http://schemas.microsoft.com/office/drawing/2014/main" id="{C4B8031C-FA61-29DF-FAEA-4DC7146E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46870" y="3693795"/>
          <a:ext cx="6190210" cy="1023126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</xdr:colOff>
      <xdr:row>26</xdr:row>
      <xdr:rowOff>76201</xdr:rowOff>
    </xdr:from>
    <xdr:to>
      <xdr:col>11</xdr:col>
      <xdr:colOff>429812</xdr:colOff>
      <xdr:row>39</xdr:row>
      <xdr:rowOff>36563</xdr:rowOff>
    </xdr:to>
    <xdr:pic>
      <xdr:nvPicPr>
        <xdr:cNvPr id="36" name="Imagen 21">
          <a:extLst>
            <a:ext uri="{FF2B5EF4-FFF2-40B4-BE49-F238E27FC236}">
              <a16:creationId xmlns:a16="http://schemas.microsoft.com/office/drawing/2014/main" id="{89DD8544-97A7-623D-C15D-9DA174F2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35440" y="4781551"/>
          <a:ext cx="5500922" cy="2313037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39</xdr:row>
      <xdr:rowOff>40005</xdr:rowOff>
    </xdr:from>
    <xdr:to>
      <xdr:col>12</xdr:col>
      <xdr:colOff>332331</xdr:colOff>
      <xdr:row>53</xdr:row>
      <xdr:rowOff>55600</xdr:rowOff>
    </xdr:to>
    <xdr:pic>
      <xdr:nvPicPr>
        <xdr:cNvPr id="39" name="Imagen 22">
          <a:extLst>
            <a:ext uri="{FF2B5EF4-FFF2-40B4-BE49-F238E27FC236}">
              <a16:creationId xmlns:a16="http://schemas.microsoft.com/office/drawing/2014/main" id="{8B273C72-7563-7619-1231-A6FB9A57E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39250" y="7098030"/>
          <a:ext cx="6161631" cy="2553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13</xdr:row>
      <xdr:rowOff>38100</xdr:rowOff>
    </xdr:from>
    <xdr:to>
      <xdr:col>2</xdr:col>
      <xdr:colOff>874395</xdr:colOff>
      <xdr:row>16</xdr:row>
      <xdr:rowOff>57150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96DB9B0E-9D12-5A7C-5D88-03EC450F22C7}"/>
            </a:ext>
            <a:ext uri="{147F2762-F138-4A5C-976F-8EAC2B608ADB}">
              <a16:predDERef xmlns:a16="http://schemas.microsoft.com/office/drawing/2014/main" pred="{0E7A6754-44C3-4291-82E2-F21630BB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2400300"/>
          <a:ext cx="5305425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17</xdr:row>
      <xdr:rowOff>95250</xdr:rowOff>
    </xdr:from>
    <xdr:to>
      <xdr:col>1</xdr:col>
      <xdr:colOff>4455795</xdr:colOff>
      <xdr:row>19</xdr:row>
      <xdr:rowOff>173355</xdr:rowOff>
    </xdr:to>
    <xdr:pic>
      <xdr:nvPicPr>
        <xdr:cNvPr id="16" name="Imagen 12">
          <a:extLst>
            <a:ext uri="{FF2B5EF4-FFF2-40B4-BE49-F238E27FC236}">
              <a16:creationId xmlns:a16="http://schemas.microsoft.com/office/drawing/2014/main" id="{252277F2-76D3-09BA-8795-61EB0B42179F}"/>
            </a:ext>
            <a:ext uri="{147F2762-F138-4A5C-976F-8EAC2B608ADB}">
              <a16:predDERef xmlns:a16="http://schemas.microsoft.com/office/drawing/2014/main" pred="{7F94462D-B4F9-8BD4-872C-39544039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3209925"/>
          <a:ext cx="40100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21</xdr:row>
      <xdr:rowOff>95250</xdr:rowOff>
    </xdr:from>
    <xdr:to>
      <xdr:col>2</xdr:col>
      <xdr:colOff>167640</xdr:colOff>
      <xdr:row>23</xdr:row>
      <xdr:rowOff>110490</xdr:rowOff>
    </xdr:to>
    <xdr:pic>
      <xdr:nvPicPr>
        <xdr:cNvPr id="18" name="Imagen 13">
          <a:extLst>
            <a:ext uri="{FF2B5EF4-FFF2-40B4-BE49-F238E27FC236}">
              <a16:creationId xmlns:a16="http://schemas.microsoft.com/office/drawing/2014/main" id="{AE2E8D61-CE8B-2B67-D9DF-9E664A0D24F8}"/>
            </a:ext>
            <a:ext uri="{147F2762-F138-4A5C-976F-8EAC2B608ADB}">
              <a16:predDERef xmlns:a16="http://schemas.microsoft.com/office/drawing/2014/main" pred="{252277F2-76D3-09BA-8795-61EB0B421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025" y="3952875"/>
          <a:ext cx="4572000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25</xdr:row>
      <xdr:rowOff>85725</xdr:rowOff>
    </xdr:from>
    <xdr:to>
      <xdr:col>4</xdr:col>
      <xdr:colOff>97155</xdr:colOff>
      <xdr:row>32</xdr:row>
      <xdr:rowOff>106680</xdr:rowOff>
    </xdr:to>
    <xdr:pic>
      <xdr:nvPicPr>
        <xdr:cNvPr id="23" name="Imagen 14">
          <a:extLst>
            <a:ext uri="{FF2B5EF4-FFF2-40B4-BE49-F238E27FC236}">
              <a16:creationId xmlns:a16="http://schemas.microsoft.com/office/drawing/2014/main" id="{495A2A8B-E7D9-DCFE-E796-3D0F039A68B6}"/>
            </a:ext>
            <a:ext uri="{147F2762-F138-4A5C-976F-8EAC2B608ADB}">
              <a16:predDERef xmlns:a16="http://schemas.microsoft.com/office/drawing/2014/main" pred="{AE2E8D61-CE8B-2B67-D9DF-9E664A0D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4925" y="4686300"/>
          <a:ext cx="6696075" cy="1343025"/>
        </a:xfrm>
        <a:prstGeom prst="rect">
          <a:avLst/>
        </a:prstGeom>
      </xdr:spPr>
    </xdr:pic>
    <xdr:clientData/>
  </xdr:twoCellAnchor>
  <xdr:twoCellAnchor>
    <xdr:from>
      <xdr:col>5</xdr:col>
      <xdr:colOff>723900</xdr:colOff>
      <xdr:row>0</xdr:row>
      <xdr:rowOff>0</xdr:rowOff>
    </xdr:from>
    <xdr:to>
      <xdr:col>10</xdr:col>
      <xdr:colOff>110490</xdr:colOff>
      <xdr:row>7</xdr:row>
      <xdr:rowOff>114300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7D3172B6-412C-72D9-59A3-23AB8405BAE0}"/>
            </a:ext>
          </a:extLst>
        </xdr:cNvPr>
        <xdr:cNvSpPr txBox="1"/>
      </xdr:nvSpPr>
      <xdr:spPr>
        <a:xfrm>
          <a:off x="9782175" y="0"/>
          <a:ext cx="3863340" cy="138112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En mcdonals hay estaciones donde uno mismo puede comprar su comida, y ya solo esperar a que lo llamen para recogerla.En este caso reemplazaríamos todos los servidores de ticketera por estos aparatos, ahora el cliente compraría su ticket y comida y ya solo pasaría a las dulcerías si compro comida o sino directamente a revisión para entrar a la pelicula.</a:t>
          </a:r>
          <a:r>
            <a:rPr lang="es-GT" sz="1100" baseline="0"/>
            <a:t> Lo que nos ahorraría un 30% en las ticketeras y un 25% en las dulcerías de tiempo de atencion.  </a:t>
          </a:r>
          <a:endParaRPr lang="es-GT" sz="1100"/>
        </a:p>
      </xdr:txBody>
    </xdr:sp>
    <xdr:clientData/>
  </xdr:twoCellAnchor>
  <xdr:twoCellAnchor editAs="oneCell">
    <xdr:from>
      <xdr:col>1</xdr:col>
      <xdr:colOff>304800</xdr:colOff>
      <xdr:row>33</xdr:row>
      <xdr:rowOff>142875</xdr:rowOff>
    </xdr:from>
    <xdr:to>
      <xdr:col>2</xdr:col>
      <xdr:colOff>180975</xdr:colOff>
      <xdr:row>39</xdr:row>
      <xdr:rowOff>36195</xdr:rowOff>
    </xdr:to>
    <xdr:pic>
      <xdr:nvPicPr>
        <xdr:cNvPr id="25" name="Imagen 103">
          <a:extLst>
            <a:ext uri="{FF2B5EF4-FFF2-40B4-BE49-F238E27FC236}">
              <a16:creationId xmlns:a16="http://schemas.microsoft.com/office/drawing/2014/main" id="{F98DC0E3-C189-3DAA-F37D-B12692AD883C}"/>
            </a:ext>
            <a:ext uri="{147F2762-F138-4A5C-976F-8EAC2B608ADB}">
              <a16:predDERef xmlns:a16="http://schemas.microsoft.com/office/drawing/2014/main" pred="{7D3172B6-412C-72D9-59A3-23AB8405B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6257925"/>
          <a:ext cx="4562475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19</xdr:row>
      <xdr:rowOff>85725</xdr:rowOff>
    </xdr:from>
    <xdr:to>
      <xdr:col>11</xdr:col>
      <xdr:colOff>186690</xdr:colOff>
      <xdr:row>24</xdr:row>
      <xdr:rowOff>30480</xdr:rowOff>
    </xdr:to>
    <xdr:pic>
      <xdr:nvPicPr>
        <xdr:cNvPr id="27" name="Imagen 164">
          <a:extLst>
            <a:ext uri="{FF2B5EF4-FFF2-40B4-BE49-F238E27FC236}">
              <a16:creationId xmlns:a16="http://schemas.microsoft.com/office/drawing/2014/main" id="{FF527CB0-6826-949D-E1ED-F81096BA586E}"/>
            </a:ext>
            <a:ext uri="{147F2762-F138-4A5C-976F-8EAC2B608ADB}">
              <a16:predDERef xmlns:a16="http://schemas.microsoft.com/office/drawing/2014/main" pred="{F98DC0E3-C189-3DAA-F37D-B12692AD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48750" y="3571875"/>
          <a:ext cx="5048250" cy="866775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13</xdr:row>
      <xdr:rowOff>76200</xdr:rowOff>
    </xdr:from>
    <xdr:to>
      <xdr:col>11</xdr:col>
      <xdr:colOff>66675</xdr:colOff>
      <xdr:row>17</xdr:row>
      <xdr:rowOff>161925</xdr:rowOff>
    </xdr:to>
    <xdr:pic>
      <xdr:nvPicPr>
        <xdr:cNvPr id="2" name="Imagen 165">
          <a:extLst>
            <a:ext uri="{FF2B5EF4-FFF2-40B4-BE49-F238E27FC236}">
              <a16:creationId xmlns:a16="http://schemas.microsoft.com/office/drawing/2014/main" id="{B4A011B1-058B-A8FD-55A5-8ADB41336CE4}"/>
            </a:ext>
            <a:ext uri="{147F2762-F138-4A5C-976F-8EAC2B608ADB}">
              <a16:predDERef xmlns:a16="http://schemas.microsoft.com/office/drawing/2014/main" pred="{FF527CB0-6826-949D-E1ED-F81096BA5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58300" y="2438400"/>
          <a:ext cx="4572000" cy="838200"/>
        </a:xfrm>
        <a:prstGeom prst="rect">
          <a:avLst/>
        </a:prstGeom>
      </xdr:spPr>
    </xdr:pic>
    <xdr:clientData/>
  </xdr:twoCellAnchor>
  <xdr:twoCellAnchor editAs="oneCell">
    <xdr:from>
      <xdr:col>5</xdr:col>
      <xdr:colOff>371475</xdr:colOff>
      <xdr:row>25</xdr:row>
      <xdr:rowOff>114300</xdr:rowOff>
    </xdr:from>
    <xdr:to>
      <xdr:col>13</xdr:col>
      <xdr:colOff>419100</xdr:colOff>
      <xdr:row>36</xdr:row>
      <xdr:rowOff>76200</xdr:rowOff>
    </xdr:to>
    <xdr:pic>
      <xdr:nvPicPr>
        <xdr:cNvPr id="5" name="Imagen 166">
          <a:extLst>
            <a:ext uri="{FF2B5EF4-FFF2-40B4-BE49-F238E27FC236}">
              <a16:creationId xmlns:a16="http://schemas.microsoft.com/office/drawing/2014/main" id="{DC98F5CB-6AB7-1C48-CE8A-1A73FB08B58C}"/>
            </a:ext>
            <a:ext uri="{147F2762-F138-4A5C-976F-8EAC2B608ADB}">
              <a16:predDERef xmlns:a16="http://schemas.microsoft.com/office/drawing/2014/main" pred="{B4A011B1-058B-A8FD-55A5-8ADB41336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72575" y="4714875"/>
          <a:ext cx="6229350" cy="2038350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37</xdr:row>
      <xdr:rowOff>76200</xdr:rowOff>
    </xdr:from>
    <xdr:to>
      <xdr:col>12</xdr:col>
      <xdr:colOff>304800</xdr:colOff>
      <xdr:row>51</xdr:row>
      <xdr:rowOff>9525</xdr:rowOff>
    </xdr:to>
    <xdr:pic>
      <xdr:nvPicPr>
        <xdr:cNvPr id="11" name="Imagen 167">
          <a:extLst>
            <a:ext uri="{FF2B5EF4-FFF2-40B4-BE49-F238E27FC236}">
              <a16:creationId xmlns:a16="http://schemas.microsoft.com/office/drawing/2014/main" id="{1DBDA44E-1DC0-E02F-2DEE-D0D4D8C53A3B}"/>
            </a:ext>
            <a:ext uri="{147F2762-F138-4A5C-976F-8EAC2B608ADB}">
              <a16:predDERef xmlns:a16="http://schemas.microsoft.com/office/drawing/2014/main" pred="{DC98F5CB-6AB7-1C48-CE8A-1A73FB08B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63050" y="6943725"/>
          <a:ext cx="5514975" cy="2590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</xdr:colOff>
      <xdr:row>0</xdr:row>
      <xdr:rowOff>0</xdr:rowOff>
    </xdr:from>
    <xdr:to>
      <xdr:col>12</xdr:col>
      <xdr:colOff>139065</xdr:colOff>
      <xdr:row>7</xdr:row>
      <xdr:rowOff>114300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F5CE3FF0-6338-0E71-A42D-C189EF059DB5}"/>
            </a:ext>
          </a:extLst>
        </xdr:cNvPr>
        <xdr:cNvSpPr txBox="1"/>
      </xdr:nvSpPr>
      <xdr:spPr>
        <a:xfrm>
          <a:off x="10031730" y="0"/>
          <a:ext cx="5137785" cy="138112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Cinépolis tiene un app que muy pocas personas usan, entonces incentivar a las personas a que puedan comprar sus boletos y comida en la app, y que aparte de eso abrir servidores de dulcería exclusivamente para las personas que compren por medio de la app. lo</a:t>
          </a:r>
          <a:r>
            <a:rPr lang="es-GT" sz="1100" baseline="0"/>
            <a:t> que haría que en vez de un 25% utilice la app para comprar sus boletos lo utilice un 45-50% de personas si se incentiva a utilizarlo y sería de igual forma más eficiente las cajas teniendo un 30% de menor tiempo de atención debido a procesos de compra anticipada y fila exclusivas</a:t>
          </a:r>
          <a:endParaRPr lang="es-GT" sz="1100"/>
        </a:p>
      </xdr:txBody>
    </xdr:sp>
    <xdr:clientData/>
  </xdr:twoCellAnchor>
  <xdr:twoCellAnchor editAs="oneCell">
    <xdr:from>
      <xdr:col>1</xdr:col>
      <xdr:colOff>24765</xdr:colOff>
      <xdr:row>12</xdr:row>
      <xdr:rowOff>167640</xdr:rowOff>
    </xdr:from>
    <xdr:to>
      <xdr:col>3</xdr:col>
      <xdr:colOff>282813</xdr:colOff>
      <xdr:row>18</xdr:row>
      <xdr:rowOff>91581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612132D-3E83-FD92-4A10-459EBCCEF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" y="2339340"/>
          <a:ext cx="6264513" cy="1013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28575</xdr:rowOff>
    </xdr:from>
    <xdr:to>
      <xdr:col>3</xdr:col>
      <xdr:colOff>206607</xdr:colOff>
      <xdr:row>21</xdr:row>
      <xdr:rowOff>93406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7C407F8-C058-46C0-0144-9BB6CEC7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3467100"/>
          <a:ext cx="6207357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161925</xdr:rowOff>
    </xdr:from>
    <xdr:to>
      <xdr:col>3</xdr:col>
      <xdr:colOff>206600</xdr:colOff>
      <xdr:row>24</xdr:row>
      <xdr:rowOff>93413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0941A0E-B36B-6C67-0D00-9845FEF68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3962400"/>
          <a:ext cx="6165440" cy="4877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171450</xdr:rowOff>
    </xdr:from>
    <xdr:to>
      <xdr:col>3</xdr:col>
      <xdr:colOff>263762</xdr:colOff>
      <xdr:row>32</xdr:row>
      <xdr:rowOff>19229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701B3B-6A96-3BB2-D094-CBA2D13E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4514850"/>
          <a:ext cx="6245462" cy="128224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32</xdr:row>
      <xdr:rowOff>76200</xdr:rowOff>
    </xdr:from>
    <xdr:to>
      <xdr:col>3</xdr:col>
      <xdr:colOff>210414</xdr:colOff>
      <xdr:row>38</xdr:row>
      <xdr:rowOff>152562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2FB8AF1-20DA-2AE3-A209-2E98AE0A3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5867400"/>
          <a:ext cx="6192114" cy="1162212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14</xdr:row>
      <xdr:rowOff>38100</xdr:rowOff>
    </xdr:from>
    <xdr:to>
      <xdr:col>12</xdr:col>
      <xdr:colOff>343769</xdr:colOff>
      <xdr:row>20</xdr:row>
      <xdr:rowOff>38252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472B2D3-E2E9-807B-2E5D-CE3AA62D8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2571750"/>
          <a:ext cx="6230219" cy="1086002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20</xdr:row>
      <xdr:rowOff>161925</xdr:rowOff>
    </xdr:from>
    <xdr:to>
      <xdr:col>12</xdr:col>
      <xdr:colOff>322813</xdr:colOff>
      <xdr:row>26</xdr:row>
      <xdr:rowOff>110635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938C164-8A90-4A03-C239-E2FDC840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3781425"/>
          <a:ext cx="6218788" cy="103456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26</xdr:row>
      <xdr:rowOff>123825</xdr:rowOff>
    </xdr:from>
    <xdr:to>
      <xdr:col>12</xdr:col>
      <xdr:colOff>269468</xdr:colOff>
      <xdr:row>40</xdr:row>
      <xdr:rowOff>110842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A79721-823B-A248-FFFC-F43476A69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15425" y="4829175"/>
          <a:ext cx="6184493" cy="25206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12</xdr:col>
      <xdr:colOff>210407</xdr:colOff>
      <xdr:row>54</xdr:row>
      <xdr:rowOff>19380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354826F-CE84-0BBA-C060-9335AF64A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86850" y="7419975"/>
          <a:ext cx="6144482" cy="2362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764718</xdr:colOff>
      <xdr:row>2</xdr:row>
      <xdr:rowOff>31294</xdr:rowOff>
    </xdr:from>
    <xdr:to>
      <xdr:col>11</xdr:col>
      <xdr:colOff>714376</xdr:colOff>
      <xdr:row>6</xdr:row>
      <xdr:rowOff>133352</xdr:rowOff>
    </xdr:to>
    <xdr:sp macro="" textlink="">
      <xdr:nvSpPr>
        <xdr:cNvPr id="33" name="CuadroTexto 1">
          <a:extLst>
            <a:ext uri="{FF2B5EF4-FFF2-40B4-BE49-F238E27FC236}">
              <a16:creationId xmlns:a16="http://schemas.microsoft.com/office/drawing/2014/main" id="{60F8286C-B412-B9A2-043B-12F708BD68C2}"/>
            </a:ext>
          </a:extLst>
        </xdr:cNvPr>
        <xdr:cNvSpPr txBox="1"/>
      </xdr:nvSpPr>
      <xdr:spPr>
        <a:xfrm>
          <a:off x="7758789" y="412294"/>
          <a:ext cx="4162430" cy="864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Y para este ultimo escenario, pensábamos en simplemente abrir otro servidor de complementos y que los todos los servidores que son "auxiliares" o sea que solo se habiliten cuando hay mucha cola, en lugar de eso, que pasen a siempre estar disponibles. </a:t>
          </a:r>
        </a:p>
      </xdr:txBody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3</xdr:col>
      <xdr:colOff>440599</xdr:colOff>
      <xdr:row>44</xdr:row>
      <xdr:rowOff>92370</xdr:rowOff>
    </xdr:to>
    <xdr:pic>
      <xdr:nvPicPr>
        <xdr:cNvPr id="89" name="Imagen 37">
          <a:extLst>
            <a:ext uri="{FF2B5EF4-FFF2-40B4-BE49-F238E27FC236}">
              <a16:creationId xmlns:a16="http://schemas.microsoft.com/office/drawing/2014/main" id="{A812E2FC-5A20-273C-FFF2-1D57D586F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41771"/>
          <a:ext cx="5415643" cy="8110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0</xdr:rowOff>
    </xdr:from>
    <xdr:to>
      <xdr:col>3</xdr:col>
      <xdr:colOff>417740</xdr:colOff>
      <xdr:row>39</xdr:row>
      <xdr:rowOff>76312</xdr:rowOff>
    </xdr:to>
    <xdr:pic>
      <xdr:nvPicPr>
        <xdr:cNvPr id="91" name="Imagen 38">
          <a:extLst>
            <a:ext uri="{FF2B5EF4-FFF2-40B4-BE49-F238E27FC236}">
              <a16:creationId xmlns:a16="http://schemas.microsoft.com/office/drawing/2014/main" id="{41CEE2CA-D258-DF0A-7627-FED8C533C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1" y="6689271"/>
          <a:ext cx="5399314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</xdr:row>
      <xdr:rowOff>0</xdr:rowOff>
    </xdr:from>
    <xdr:to>
      <xdr:col>3</xdr:col>
      <xdr:colOff>379640</xdr:colOff>
      <xdr:row>27</xdr:row>
      <xdr:rowOff>93234</xdr:rowOff>
    </xdr:to>
    <xdr:pic>
      <xdr:nvPicPr>
        <xdr:cNvPr id="93" name="Imagen 39">
          <a:extLst>
            <a:ext uri="{FF2B5EF4-FFF2-40B4-BE49-F238E27FC236}">
              <a16:creationId xmlns:a16="http://schemas.microsoft.com/office/drawing/2014/main" id="{F69D4756-2B28-3664-8A76-7D2E46DC6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1" y="4022271"/>
          <a:ext cx="5361214" cy="11649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3</xdr:col>
      <xdr:colOff>363855</xdr:colOff>
      <xdr:row>34</xdr:row>
      <xdr:rowOff>96502</xdr:rowOff>
    </xdr:to>
    <xdr:pic>
      <xdr:nvPicPr>
        <xdr:cNvPr id="95" name="Imagen 40">
          <a:extLst>
            <a:ext uri="{FF2B5EF4-FFF2-40B4-BE49-F238E27FC236}">
              <a16:creationId xmlns:a16="http://schemas.microsoft.com/office/drawing/2014/main" id="{0747559E-FD76-EDDD-52A1-9E922857E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5355771"/>
          <a:ext cx="5350329" cy="117037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13</xdr:row>
      <xdr:rowOff>0</xdr:rowOff>
    </xdr:from>
    <xdr:ext cx="5361214" cy="419158"/>
    <xdr:pic>
      <xdr:nvPicPr>
        <xdr:cNvPr id="104" name="Imagen 41">
          <a:extLst>
            <a:ext uri="{FF2B5EF4-FFF2-40B4-BE49-F238E27FC236}">
              <a16:creationId xmlns:a16="http://schemas.microsoft.com/office/drawing/2014/main" id="{3D29F306-B67B-B40C-C410-BE54D5941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498271"/>
          <a:ext cx="5361214" cy="419158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16</xdr:row>
      <xdr:rowOff>0</xdr:rowOff>
    </xdr:from>
    <xdr:to>
      <xdr:col>3</xdr:col>
      <xdr:colOff>360045</xdr:colOff>
      <xdr:row>18</xdr:row>
      <xdr:rowOff>21827</xdr:rowOff>
    </xdr:to>
    <xdr:pic>
      <xdr:nvPicPr>
        <xdr:cNvPr id="99" name="Imagen 42">
          <a:extLst>
            <a:ext uri="{FF2B5EF4-FFF2-40B4-BE49-F238E27FC236}">
              <a16:creationId xmlns:a16="http://schemas.microsoft.com/office/drawing/2014/main" id="{1442572D-9436-FD4E-15C5-C77AD92E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069771"/>
          <a:ext cx="5350329" cy="3919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190499</xdr:rowOff>
    </xdr:from>
    <xdr:to>
      <xdr:col>3</xdr:col>
      <xdr:colOff>397329</xdr:colOff>
      <xdr:row>20</xdr:row>
      <xdr:rowOff>15240</xdr:rowOff>
    </xdr:to>
    <xdr:pic>
      <xdr:nvPicPr>
        <xdr:cNvPr id="103" name="Imagen 43">
          <a:extLst>
            <a:ext uri="{FF2B5EF4-FFF2-40B4-BE49-F238E27FC236}">
              <a16:creationId xmlns:a16="http://schemas.microsoft.com/office/drawing/2014/main" id="{7C9A6086-73DA-480A-99DB-C11496F0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3641270"/>
          <a:ext cx="5368018" cy="1905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14</xdr:col>
      <xdr:colOff>551361</xdr:colOff>
      <xdr:row>27</xdr:row>
      <xdr:rowOff>19131</xdr:rowOff>
    </xdr:to>
    <xdr:pic>
      <xdr:nvPicPr>
        <xdr:cNvPr id="108" name="Imagen 46">
          <a:extLst>
            <a:ext uri="{FF2B5EF4-FFF2-40B4-BE49-F238E27FC236}">
              <a16:creationId xmlns:a16="http://schemas.microsoft.com/office/drawing/2014/main" id="{BBA091F5-826F-113B-8058-78C85B790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72300" y="2498271"/>
          <a:ext cx="6890657" cy="2536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14</xdr:col>
      <xdr:colOff>555715</xdr:colOff>
      <xdr:row>41</xdr:row>
      <xdr:rowOff>19131</xdr:rowOff>
    </xdr:to>
    <xdr:pic>
      <xdr:nvPicPr>
        <xdr:cNvPr id="110" name="Imagen 47">
          <a:extLst>
            <a:ext uri="{FF2B5EF4-FFF2-40B4-BE49-F238E27FC236}">
              <a16:creationId xmlns:a16="http://schemas.microsoft.com/office/drawing/2014/main" id="{53E45CB2-C925-21B4-2408-387119C1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72300" y="5165271"/>
          <a:ext cx="6885214" cy="253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6BB6-7E30-4540-84EA-F3E459860F1D}">
  <dimension ref="A1:S41"/>
  <sheetViews>
    <sheetView topLeftCell="C1" workbookViewId="0">
      <selection activeCell="A5" sqref="A5"/>
    </sheetView>
  </sheetViews>
  <sheetFormatPr baseColWidth="10" defaultColWidth="11.44140625" defaultRowHeight="14.4" x14ac:dyDescent="0.3"/>
  <cols>
    <col min="1" max="1" width="16" customWidth="1"/>
    <col min="2" max="2" width="70" bestFit="1" customWidth="1"/>
    <col min="3" max="4" width="15.6640625" bestFit="1" customWidth="1"/>
    <col min="5" max="5" width="16.33203125" bestFit="1" customWidth="1"/>
    <col min="6" max="7" width="12.6640625" bestFit="1" customWidth="1"/>
    <col min="8" max="10" width="13.33203125" bestFit="1" customWidth="1"/>
    <col min="15" max="15" width="13.109375" bestFit="1" customWidth="1"/>
    <col min="16" max="16" width="12.44140625" bestFit="1" customWidth="1"/>
  </cols>
  <sheetData>
    <row r="1" spans="1:19" x14ac:dyDescent="0.3">
      <c r="A1" s="2" t="s">
        <v>0</v>
      </c>
      <c r="B1" s="2" t="s">
        <v>1</v>
      </c>
      <c r="C1" s="2"/>
    </row>
    <row r="2" spans="1:19" x14ac:dyDescent="0.3">
      <c r="A2" s="2">
        <v>1</v>
      </c>
      <c r="B2" s="2" t="s">
        <v>2</v>
      </c>
      <c r="C2" s="2">
        <v>306</v>
      </c>
    </row>
    <row r="3" spans="1:19" x14ac:dyDescent="0.3">
      <c r="A3" s="2">
        <v>2</v>
      </c>
      <c r="B3" s="2" t="s">
        <v>3</v>
      </c>
      <c r="C3" s="2">
        <v>247</v>
      </c>
    </row>
    <row r="4" spans="1:19" x14ac:dyDescent="0.3">
      <c r="A4" s="2">
        <v>3</v>
      </c>
      <c r="B4" s="2" t="s">
        <v>4</v>
      </c>
      <c r="C4" s="3">
        <v>0.26</v>
      </c>
    </row>
    <row r="5" spans="1:19" x14ac:dyDescent="0.3">
      <c r="A5" s="2">
        <v>4</v>
      </c>
      <c r="B5" s="2" t="s">
        <v>5</v>
      </c>
      <c r="C5" s="4">
        <f>0.1479+0.4375+0.3681+2.9049+5.4239+7.4811</f>
        <v>16.763399999999997</v>
      </c>
    </row>
    <row r="6" spans="1:19" x14ac:dyDescent="0.3">
      <c r="A6" s="2">
        <v>5</v>
      </c>
      <c r="B6" s="2" t="s">
        <v>6</v>
      </c>
      <c r="C6" s="2">
        <f>2+4+4+9+11+12</f>
        <v>42</v>
      </c>
    </row>
    <row r="7" spans="1:19" x14ac:dyDescent="0.3">
      <c r="A7" s="2">
        <v>6</v>
      </c>
      <c r="B7" s="2" t="s">
        <v>7</v>
      </c>
      <c r="C7" s="4">
        <f>0.5576+2.0245+3.8575+4.2603</f>
        <v>10.6999</v>
      </c>
    </row>
    <row r="8" spans="1:19" x14ac:dyDescent="0.3">
      <c r="A8" s="2">
        <v>7</v>
      </c>
      <c r="B8" s="2" t="s">
        <v>8</v>
      </c>
      <c r="C8" s="5">
        <f>5+9+7+7</f>
        <v>28</v>
      </c>
    </row>
    <row r="9" spans="1:19" x14ac:dyDescent="0.3">
      <c r="A9" s="5">
        <v>8</v>
      </c>
      <c r="B9" s="12" t="s">
        <v>9</v>
      </c>
      <c r="C9" s="7">
        <f>(R11/C4)</f>
        <v>1.5056730769230768</v>
      </c>
    </row>
    <row r="10" spans="1:19" ht="14.4" customHeight="1" x14ac:dyDescent="0.3">
      <c r="A10" s="47"/>
      <c r="B10" s="47"/>
      <c r="C10" s="47"/>
      <c r="D10" s="9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</row>
    <row r="11" spans="1:19" ht="14.4" customHeight="1" x14ac:dyDescent="0.3">
      <c r="A11" s="49">
        <v>9</v>
      </c>
      <c r="B11" s="48" t="s">
        <v>25</v>
      </c>
      <c r="C11" s="2" t="s">
        <v>26</v>
      </c>
      <c r="D11" s="9">
        <v>2.2100000000000002E-2</v>
      </c>
      <c r="E11" s="2">
        <v>5.1499999999999997E-2</v>
      </c>
      <c r="F11" s="2">
        <v>3.6799999999999999E-2</v>
      </c>
      <c r="G11" s="2">
        <v>2.86E-2</v>
      </c>
      <c r="H11" s="2">
        <v>0.1094</v>
      </c>
      <c r="I11" s="2">
        <v>0.17449999999999999</v>
      </c>
      <c r="J11" s="2">
        <v>0.1104</v>
      </c>
      <c r="K11" s="2">
        <v>0.11210000000000001</v>
      </c>
      <c r="L11" s="2">
        <v>0.1201</v>
      </c>
      <c r="M11" s="2">
        <v>0.2326</v>
      </c>
      <c r="N11" s="2">
        <v>0.29559999999999997</v>
      </c>
      <c r="O11" s="2">
        <v>4.0000000000000002E-4</v>
      </c>
      <c r="P11" s="2">
        <f>($G$11+$H$11+$J$11+$K$11)/4</f>
        <v>9.0125000000000011E-2</v>
      </c>
      <c r="Q11" s="2">
        <f>($D$11+$E$11+$F$11+$L$11+$M$11+$N$11)/6</f>
        <v>0.12644999999999998</v>
      </c>
      <c r="R11" s="6">
        <f>P11+Q11+O11+I11</f>
        <v>0.39147500000000002</v>
      </c>
    </row>
    <row r="12" spans="1:19" ht="14.4" customHeight="1" x14ac:dyDescent="0.3">
      <c r="A12" s="49"/>
      <c r="B12" s="48"/>
      <c r="C12" s="2" t="s">
        <v>27</v>
      </c>
      <c r="D12" s="9">
        <f t="shared" ref="D12:R12" si="0">D11*60</f>
        <v>1.3260000000000001</v>
      </c>
      <c r="E12" s="2">
        <f t="shared" si="0"/>
        <v>3.09</v>
      </c>
      <c r="F12" s="2">
        <f t="shared" si="0"/>
        <v>2.2080000000000002</v>
      </c>
      <c r="G12" s="2">
        <f t="shared" si="0"/>
        <v>1.716</v>
      </c>
      <c r="H12" s="2">
        <f t="shared" si="0"/>
        <v>6.5640000000000001</v>
      </c>
      <c r="I12" s="2">
        <f t="shared" si="0"/>
        <v>10.469999999999999</v>
      </c>
      <c r="J12" s="2">
        <f t="shared" si="0"/>
        <v>6.6239999999999997</v>
      </c>
      <c r="K12" s="2">
        <f t="shared" si="0"/>
        <v>6.726</v>
      </c>
      <c r="L12" s="2">
        <f t="shared" si="0"/>
        <v>7.2059999999999995</v>
      </c>
      <c r="M12" s="2">
        <f t="shared" si="0"/>
        <v>13.956</v>
      </c>
      <c r="N12" s="2">
        <f t="shared" si="0"/>
        <v>17.735999999999997</v>
      </c>
      <c r="O12" s="2">
        <f t="shared" si="0"/>
        <v>2.4E-2</v>
      </c>
      <c r="P12" s="2">
        <f t="shared" si="0"/>
        <v>5.4075000000000006</v>
      </c>
      <c r="Q12" s="2">
        <f t="shared" si="0"/>
        <v>7.5869999999999989</v>
      </c>
      <c r="R12" s="2">
        <f t="shared" si="0"/>
        <v>23.488500000000002</v>
      </c>
    </row>
    <row r="13" spans="1:19" ht="14.4" customHeight="1" x14ac:dyDescent="0.3">
      <c r="A13" s="22">
        <v>10</v>
      </c>
      <c r="B13" s="22" t="s">
        <v>28</v>
      </c>
      <c r="C13" s="22"/>
      <c r="D13" s="11">
        <v>0.2752</v>
      </c>
      <c r="E13" s="11">
        <v>0.408082</v>
      </c>
      <c r="F13" s="11">
        <v>0.44181599999999999</v>
      </c>
      <c r="G13" s="11">
        <v>0.49079299999999998</v>
      </c>
      <c r="H13" s="11">
        <v>0.63906499999999999</v>
      </c>
      <c r="I13" s="11">
        <v>0.62192099999999995</v>
      </c>
      <c r="J13" s="11">
        <v>0.954318</v>
      </c>
      <c r="K13" s="11">
        <v>0.99207000000000001</v>
      </c>
      <c r="L13" s="11">
        <v>0.872506</v>
      </c>
      <c r="M13" s="11">
        <v>0.95987199999999995</v>
      </c>
      <c r="N13" s="11">
        <v>0.96277400000000002</v>
      </c>
      <c r="O13" s="11">
        <v>0.25084099999999998</v>
      </c>
      <c r="P13" s="45"/>
      <c r="Q13" s="46"/>
      <c r="R13" s="13">
        <f>SUM(D13:O13)</f>
        <v>7.8692580000000012</v>
      </c>
      <c r="S13">
        <f>R13/12</f>
        <v>0.65577150000000006</v>
      </c>
    </row>
    <row r="15" spans="1:19" x14ac:dyDescent="0.3">
      <c r="A15">
        <v>1</v>
      </c>
      <c r="E15">
        <v>6</v>
      </c>
    </row>
    <row r="20" spans="1:5" x14ac:dyDescent="0.3">
      <c r="A20">
        <v>2</v>
      </c>
    </row>
    <row r="21" spans="1:5" x14ac:dyDescent="0.3">
      <c r="E21">
        <v>7</v>
      </c>
    </row>
    <row r="23" spans="1:5" x14ac:dyDescent="0.3">
      <c r="A23">
        <v>3</v>
      </c>
    </row>
    <row r="28" spans="1:5" x14ac:dyDescent="0.3">
      <c r="A28">
        <v>4</v>
      </c>
      <c r="E28">
        <v>9</v>
      </c>
    </row>
    <row r="36" spans="1:5" x14ac:dyDescent="0.3">
      <c r="A36">
        <v>5</v>
      </c>
    </row>
    <row r="41" spans="1:5" x14ac:dyDescent="0.3">
      <c r="E41">
        <v>10</v>
      </c>
    </row>
  </sheetData>
  <mergeCells count="4">
    <mergeCell ref="P13:Q13"/>
    <mergeCell ref="A10:C10"/>
    <mergeCell ref="B11:B12"/>
    <mergeCell ref="A11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5F21-F19E-4517-AE1C-CED6169D2F51}">
  <dimension ref="A1:S53"/>
  <sheetViews>
    <sheetView workbookViewId="0">
      <selection activeCell="C5" sqref="C5"/>
    </sheetView>
  </sheetViews>
  <sheetFormatPr baseColWidth="10" defaultColWidth="11.44140625" defaultRowHeight="14.4" x14ac:dyDescent="0.3"/>
  <cols>
    <col min="1" max="1" width="16" customWidth="1"/>
    <col min="2" max="2" width="68.33203125" bestFit="1" customWidth="1"/>
    <col min="3" max="4" width="15.6640625" bestFit="1" customWidth="1"/>
    <col min="5" max="5" width="16.33203125" bestFit="1" customWidth="1"/>
    <col min="6" max="7" width="12.6640625" bestFit="1" customWidth="1"/>
    <col min="8" max="10" width="13.33203125" bestFit="1" customWidth="1"/>
    <col min="11" max="14" width="9.109375" bestFit="1" customWidth="1"/>
    <col min="15" max="15" width="13.109375" bestFit="1" customWidth="1"/>
    <col min="16" max="16" width="12.44140625" bestFit="1" customWidth="1"/>
  </cols>
  <sheetData>
    <row r="1" spans="1:19" x14ac:dyDescent="0.3">
      <c r="A1" s="2" t="s">
        <v>0</v>
      </c>
      <c r="B1" s="2" t="s">
        <v>1</v>
      </c>
      <c r="C1" s="2"/>
    </row>
    <row r="2" spans="1:19" x14ac:dyDescent="0.3">
      <c r="A2" s="2">
        <v>1</v>
      </c>
      <c r="B2" s="2" t="s">
        <v>2</v>
      </c>
      <c r="C2" s="2">
        <v>299</v>
      </c>
    </row>
    <row r="3" spans="1:19" x14ac:dyDescent="0.3">
      <c r="A3" s="2">
        <v>2</v>
      </c>
      <c r="B3" s="2" t="s">
        <v>3</v>
      </c>
      <c r="C3" s="2">
        <v>247</v>
      </c>
    </row>
    <row r="4" spans="1:19" x14ac:dyDescent="0.3">
      <c r="A4" s="2">
        <v>3</v>
      </c>
      <c r="B4" s="2" t="s">
        <v>4</v>
      </c>
      <c r="C4" s="4">
        <v>0.1552</v>
      </c>
      <c r="D4" t="s">
        <v>29</v>
      </c>
    </row>
    <row r="5" spans="1:19" x14ac:dyDescent="0.3">
      <c r="A5" s="2">
        <v>4</v>
      </c>
      <c r="B5" s="2" t="s">
        <v>5</v>
      </c>
      <c r="C5" s="4">
        <f>D24</f>
        <v>14.336299999999998</v>
      </c>
    </row>
    <row r="6" spans="1:19" x14ac:dyDescent="0.3">
      <c r="A6" s="2">
        <v>5</v>
      </c>
      <c r="B6" s="2" t="s">
        <v>6</v>
      </c>
      <c r="C6">
        <f>1+1+13+11+11</f>
        <v>37</v>
      </c>
    </row>
    <row r="7" spans="1:19" x14ac:dyDescent="0.3">
      <c r="A7" s="2">
        <v>6</v>
      </c>
      <c r="B7" s="2" t="s">
        <v>7</v>
      </c>
      <c r="C7">
        <f>0.6109+0.2746+0.391+0.5552</f>
        <v>1.8317000000000001</v>
      </c>
      <c r="D7" t="s">
        <v>30</v>
      </c>
    </row>
    <row r="8" spans="1:19" x14ac:dyDescent="0.3">
      <c r="A8" s="2">
        <v>7</v>
      </c>
      <c r="B8" s="2" t="s">
        <v>8</v>
      </c>
      <c r="C8" s="2">
        <f>5+2+3+5</f>
        <v>15</v>
      </c>
    </row>
    <row r="9" spans="1:19" x14ac:dyDescent="0.3">
      <c r="A9" s="2">
        <v>8</v>
      </c>
      <c r="B9" s="2" t="s">
        <v>9</v>
      </c>
      <c r="C9" s="7">
        <f>(Q37/C4)</f>
        <v>1.1481958762886597</v>
      </c>
    </row>
    <row r="10" spans="1:19" x14ac:dyDescent="0.3">
      <c r="A10" s="50"/>
      <c r="B10" s="46"/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22</v>
      </c>
      <c r="P10" s="2" t="s">
        <v>23</v>
      </c>
      <c r="Q10" s="2" t="s">
        <v>24</v>
      </c>
    </row>
    <row r="11" spans="1:19" x14ac:dyDescent="0.3">
      <c r="A11" s="2">
        <v>9</v>
      </c>
      <c r="B11" s="2" t="s">
        <v>31</v>
      </c>
      <c r="C11" s="2">
        <v>0</v>
      </c>
      <c r="D11" s="2">
        <v>8.0000000000000002E-3</v>
      </c>
      <c r="E11" s="2">
        <v>0</v>
      </c>
      <c r="F11" s="2">
        <v>2.86E-2</v>
      </c>
      <c r="G11" s="2">
        <v>9.7999999999999997E-3</v>
      </c>
      <c r="H11" s="2">
        <v>0.17449999999999999</v>
      </c>
      <c r="I11" s="2">
        <v>0.1104</v>
      </c>
      <c r="J11" s="2">
        <v>0.11210000000000001</v>
      </c>
      <c r="K11" s="2">
        <v>0.1201</v>
      </c>
      <c r="L11" s="2">
        <v>0.2326</v>
      </c>
      <c r="M11" s="2">
        <v>0.29559999999999997</v>
      </c>
      <c r="N11" s="38">
        <v>4.0000000000000002E-4</v>
      </c>
      <c r="O11" s="38">
        <f>($F$11+$G$11+$I$11+$J$11)/4</f>
        <v>6.5225000000000005E-2</v>
      </c>
      <c r="P11" s="38">
        <f>($C$11+$D$11+$E$11+$K$11+$L$11+$M$11)/6</f>
        <v>0.10938333333333333</v>
      </c>
      <c r="Q11" s="6">
        <f>O11+P11+N11+H11</f>
        <v>0.34950833333333331</v>
      </c>
    </row>
    <row r="12" spans="1:19" x14ac:dyDescent="0.3">
      <c r="A12" s="2">
        <v>10</v>
      </c>
      <c r="B12" s="2" t="s">
        <v>28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Q12">
        <f>G53</f>
        <v>656.5630000000001</v>
      </c>
      <c r="R12" t="s">
        <v>32</v>
      </c>
    </row>
    <row r="13" spans="1:19" x14ac:dyDescent="0.3">
      <c r="R13">
        <f>Q12/12</f>
        <v>54.713583333333339</v>
      </c>
    </row>
    <row r="14" spans="1:19" x14ac:dyDescent="0.3">
      <c r="A14">
        <v>1</v>
      </c>
      <c r="E14">
        <v>6</v>
      </c>
      <c r="R14" t="s">
        <v>33</v>
      </c>
    </row>
    <row r="15" spans="1:19" x14ac:dyDescent="0.3">
      <c r="M15">
        <f>0.6109+0.2746+0.391+0.5552</f>
        <v>1.8317000000000001</v>
      </c>
      <c r="S15" t="s">
        <v>34</v>
      </c>
    </row>
    <row r="19" spans="1:16" x14ac:dyDescent="0.3">
      <c r="A19">
        <v>2</v>
      </c>
    </row>
    <row r="20" spans="1:16" x14ac:dyDescent="0.3">
      <c r="E20">
        <v>7</v>
      </c>
    </row>
    <row r="22" spans="1:16" x14ac:dyDescent="0.3">
      <c r="A22">
        <v>3</v>
      </c>
    </row>
    <row r="24" spans="1:16" x14ac:dyDescent="0.3">
      <c r="D24">
        <f>0.0031+0.0002+3.6393+7.3655+3.3282</f>
        <v>14.336299999999998</v>
      </c>
    </row>
    <row r="27" spans="1:16" x14ac:dyDescent="0.3">
      <c r="A27">
        <v>4</v>
      </c>
      <c r="E27">
        <v>9</v>
      </c>
    </row>
    <row r="31" spans="1:16" x14ac:dyDescent="0.3">
      <c r="O31" t="s">
        <v>35</v>
      </c>
      <c r="P31">
        <v>2.3099999999999999E-2</v>
      </c>
    </row>
    <row r="32" spans="1:16" x14ac:dyDescent="0.3">
      <c r="O32" t="s">
        <v>36</v>
      </c>
    </row>
    <row r="33" spans="1:17" x14ac:dyDescent="0.3">
      <c r="O33" t="s">
        <v>37</v>
      </c>
    </row>
    <row r="34" spans="1:17" x14ac:dyDescent="0.3">
      <c r="O34" t="s">
        <v>38</v>
      </c>
    </row>
    <row r="35" spans="1:17" x14ac:dyDescent="0.3">
      <c r="A35">
        <v>5</v>
      </c>
    </row>
    <row r="36" spans="1:17" x14ac:dyDescent="0.3">
      <c r="D36">
        <f>1+1+13+11+11</f>
        <v>37</v>
      </c>
    </row>
    <row r="37" spans="1:17" x14ac:dyDescent="0.3">
      <c r="Q37">
        <v>0.1782</v>
      </c>
    </row>
    <row r="39" spans="1:17" x14ac:dyDescent="0.3">
      <c r="E39">
        <v>10</v>
      </c>
    </row>
    <row r="53" spans="7:7" x14ac:dyDescent="0.3">
      <c r="G53" s="44">
        <f xml:space="preserve"> 15.2576 + 13.0943 + 14.0875 + 62.0606 + 54.2908 + 69.8383 + 60.014 + 59.3847 + 87.6328 + 95.9634 + 97.6969 + 27.2421</f>
        <v>656.5630000000001</v>
      </c>
    </row>
  </sheetData>
  <mergeCells count="1">
    <mergeCell ref="A10:B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8A62-A78F-41BA-80BC-FEAA8F5EA270}">
  <dimension ref="A1:T42"/>
  <sheetViews>
    <sheetView topLeftCell="C1" workbookViewId="0">
      <selection activeCell="F9" sqref="F9"/>
    </sheetView>
  </sheetViews>
  <sheetFormatPr baseColWidth="10" defaultColWidth="11.44140625" defaultRowHeight="14.4" x14ac:dyDescent="0.3"/>
  <cols>
    <col min="2" max="2" width="70" bestFit="1" customWidth="1"/>
    <col min="3" max="4" width="17.6640625" bestFit="1" customWidth="1"/>
    <col min="5" max="5" width="15.6640625" bestFit="1" customWidth="1"/>
    <col min="6" max="7" width="13.44140625" bestFit="1" customWidth="1"/>
    <col min="8" max="8" width="13.88671875" bestFit="1" customWidth="1"/>
    <col min="9" max="10" width="13.6640625" bestFit="1" customWidth="1"/>
    <col min="11" max="13" width="9.109375" bestFit="1" customWidth="1"/>
    <col min="14" max="14" width="13.6640625" bestFit="1" customWidth="1"/>
    <col min="15" max="15" width="17.6640625" bestFit="1" customWidth="1"/>
    <col min="16" max="16" width="17.88671875" bestFit="1" customWidth="1"/>
    <col min="19" max="19" width="17.88671875" bestFit="1" customWidth="1"/>
  </cols>
  <sheetData>
    <row r="1" spans="1:20" x14ac:dyDescent="0.3">
      <c r="A1" s="2" t="s">
        <v>0</v>
      </c>
      <c r="B1" s="2" t="s">
        <v>1</v>
      </c>
    </row>
    <row r="2" spans="1:20" x14ac:dyDescent="0.3">
      <c r="A2" s="2">
        <v>1</v>
      </c>
      <c r="B2" s="2" t="s">
        <v>2</v>
      </c>
      <c r="C2">
        <v>308</v>
      </c>
    </row>
    <row r="3" spans="1:20" x14ac:dyDescent="0.3">
      <c r="A3" s="2">
        <v>2</v>
      </c>
      <c r="B3" s="2" t="s">
        <v>3</v>
      </c>
      <c r="C3">
        <v>261</v>
      </c>
    </row>
    <row r="4" spans="1:20" x14ac:dyDescent="0.3">
      <c r="A4" s="2">
        <v>3</v>
      </c>
      <c r="B4" s="2" t="s">
        <v>4</v>
      </c>
      <c r="C4">
        <v>0.182</v>
      </c>
      <c r="D4">
        <f>C4*60</f>
        <v>10.92</v>
      </c>
      <c r="E4" t="s">
        <v>39</v>
      </c>
    </row>
    <row r="5" spans="1:20" x14ac:dyDescent="0.3">
      <c r="A5" s="2">
        <v>4</v>
      </c>
      <c r="B5" s="2" t="s">
        <v>5</v>
      </c>
      <c r="C5" s="1">
        <f>0.4206+5.3208+2.982</f>
        <v>8.7234000000000016</v>
      </c>
      <c r="D5" s="25" t="s">
        <v>40</v>
      </c>
      <c r="E5" s="1">
        <f>0.4553+0.5439</f>
        <v>0.99920000000000009</v>
      </c>
    </row>
    <row r="6" spans="1:20" x14ac:dyDescent="0.3">
      <c r="A6" s="2">
        <v>5</v>
      </c>
      <c r="B6" s="2" t="s">
        <v>6</v>
      </c>
      <c r="C6">
        <f>3+9+7</f>
        <v>19</v>
      </c>
      <c r="D6" s="25" t="s">
        <v>40</v>
      </c>
      <c r="E6">
        <f>4+4</f>
        <v>8</v>
      </c>
    </row>
    <row r="7" spans="1:20" x14ac:dyDescent="0.3">
      <c r="A7" s="2">
        <v>6</v>
      </c>
      <c r="B7" s="2" t="s">
        <v>7</v>
      </c>
      <c r="C7" s="1">
        <f>0.0839+0.3223+3.9481+3.5208</f>
        <v>7.8750999999999998</v>
      </c>
    </row>
    <row r="8" spans="1:20" x14ac:dyDescent="0.3">
      <c r="A8" s="2">
        <v>7</v>
      </c>
      <c r="B8" s="2" t="s">
        <v>8</v>
      </c>
      <c r="C8">
        <f>2+4+7+7</f>
        <v>20</v>
      </c>
      <c r="F8" t="s">
        <v>27</v>
      </c>
    </row>
    <row r="9" spans="1:20" x14ac:dyDescent="0.3">
      <c r="A9" s="2">
        <v>8</v>
      </c>
      <c r="B9" s="2" t="s">
        <v>9</v>
      </c>
      <c r="C9" s="27">
        <f>T11/C4</f>
        <v>1.5217032967032968</v>
      </c>
      <c r="F9">
        <f>F11*60</f>
        <v>0.42</v>
      </c>
      <c r="G9">
        <f t="shared" ref="G9:T9" si="0">G11*60</f>
        <v>1.8420000000000001</v>
      </c>
      <c r="H9">
        <f t="shared" si="0"/>
        <v>3.012</v>
      </c>
      <c r="I9">
        <f t="shared" si="0"/>
        <v>6.7319999999999993</v>
      </c>
      <c r="J9">
        <f t="shared" si="0"/>
        <v>6.63</v>
      </c>
      <c r="K9">
        <f t="shared" si="0"/>
        <v>1.758</v>
      </c>
      <c r="L9">
        <f t="shared" si="0"/>
        <v>13.986000000000001</v>
      </c>
      <c r="M9">
        <f t="shared" si="0"/>
        <v>9.4379999999999988</v>
      </c>
      <c r="N9">
        <f t="shared" si="0"/>
        <v>2.4E-2</v>
      </c>
      <c r="O9">
        <f t="shared" si="0"/>
        <v>1.1819999999999999</v>
      </c>
      <c r="P9">
        <f t="shared" si="0"/>
        <v>1.38</v>
      </c>
      <c r="Q9">
        <f t="shared" si="0"/>
        <v>3.9060000000000001</v>
      </c>
      <c r="R9">
        <f t="shared" si="0"/>
        <v>8.3940000000000001</v>
      </c>
      <c r="S9">
        <f t="shared" si="0"/>
        <v>1.2810000000000001</v>
      </c>
      <c r="T9">
        <f t="shared" si="0"/>
        <v>16.617000000000001</v>
      </c>
    </row>
    <row r="10" spans="1:20" x14ac:dyDescent="0.3">
      <c r="A10" s="50"/>
      <c r="B10" s="46"/>
      <c r="C10" s="2" t="s">
        <v>10</v>
      </c>
      <c r="D10" s="2" t="s">
        <v>11</v>
      </c>
      <c r="E10" s="2" t="s">
        <v>12</v>
      </c>
      <c r="F10" s="9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41</v>
      </c>
      <c r="P10" s="2" t="s">
        <v>42</v>
      </c>
      <c r="Q10" s="2" t="s">
        <v>22</v>
      </c>
      <c r="R10" s="2" t="s">
        <v>23</v>
      </c>
      <c r="S10" s="2" t="s">
        <v>43</v>
      </c>
      <c r="T10" s="2" t="s">
        <v>24</v>
      </c>
    </row>
    <row r="11" spans="1:20" x14ac:dyDescent="0.3">
      <c r="A11" s="2">
        <v>9</v>
      </c>
      <c r="B11" s="2" t="s">
        <v>31</v>
      </c>
      <c r="C11" s="2" t="s">
        <v>44</v>
      </c>
      <c r="D11" s="2" t="s">
        <v>44</v>
      </c>
      <c r="E11" s="2" t="s">
        <v>44</v>
      </c>
      <c r="F11" s="9">
        <v>7.0000000000000001E-3</v>
      </c>
      <c r="G11" s="2">
        <v>3.0700000000000002E-2</v>
      </c>
      <c r="H11" s="2">
        <v>5.0200000000000002E-2</v>
      </c>
      <c r="I11" s="2">
        <v>0.11219999999999999</v>
      </c>
      <c r="J11" s="2">
        <v>0.1105</v>
      </c>
      <c r="K11" s="2">
        <v>2.93E-2</v>
      </c>
      <c r="L11" s="2">
        <v>0.2331</v>
      </c>
      <c r="M11" s="2">
        <v>0.1573</v>
      </c>
      <c r="N11" s="2">
        <v>4.0000000000000002E-4</v>
      </c>
      <c r="O11" s="2">
        <v>1.9699999999999999E-2</v>
      </c>
      <c r="P11" s="2">
        <v>2.3E-2</v>
      </c>
      <c r="Q11" s="2">
        <f>(F11+G11+I11+J11)/4</f>
        <v>6.5100000000000005E-2</v>
      </c>
      <c r="R11" s="2">
        <f>(K11+L11+M11)/3</f>
        <v>0.1399</v>
      </c>
      <c r="S11" s="2">
        <f>(O11+P11)/2</f>
        <v>2.1350000000000001E-2</v>
      </c>
      <c r="T11" s="2">
        <f>S11+R11+Q11+N11+H11</f>
        <v>0.27695000000000003</v>
      </c>
    </row>
    <row r="12" spans="1:20" x14ac:dyDescent="0.3">
      <c r="A12" s="2">
        <v>10</v>
      </c>
      <c r="B12" s="2" t="s">
        <v>28</v>
      </c>
      <c r="C12" s="11" t="s">
        <v>44</v>
      </c>
      <c r="D12" s="11" t="s">
        <v>44</v>
      </c>
      <c r="E12" s="11" t="s">
        <v>44</v>
      </c>
      <c r="F12" s="11">
        <v>0.32122000000000001</v>
      </c>
      <c r="G12" s="11">
        <v>0.34167399999999998</v>
      </c>
      <c r="H12" s="11">
        <v>0.79787799999999998</v>
      </c>
      <c r="I12" s="11">
        <v>0.94331699999999996</v>
      </c>
      <c r="J12" s="11">
        <v>0.88268800000000003</v>
      </c>
      <c r="K12" s="11">
        <v>0.60144200000000003</v>
      </c>
      <c r="L12" s="11">
        <v>0.94549399999999995</v>
      </c>
      <c r="M12" s="11">
        <v>0.88245700000000005</v>
      </c>
      <c r="N12" s="11">
        <v>0.26088299999999998</v>
      </c>
      <c r="O12" s="11">
        <v>0.60165900000000005</v>
      </c>
      <c r="P12" s="11">
        <v>0.689222</v>
      </c>
      <c r="Q12" s="51"/>
      <c r="R12" s="52"/>
      <c r="S12" s="52"/>
      <c r="T12" s="10">
        <f>SUM(C12:P12)</f>
        <v>7.2679339999999995</v>
      </c>
    </row>
    <row r="15" spans="1:20" x14ac:dyDescent="0.3">
      <c r="A15">
        <v>1</v>
      </c>
      <c r="E15">
        <v>6</v>
      </c>
    </row>
    <row r="20" spans="1:5" x14ac:dyDescent="0.3">
      <c r="A20">
        <v>2</v>
      </c>
    </row>
    <row r="22" spans="1:5" x14ac:dyDescent="0.3">
      <c r="E22">
        <v>7</v>
      </c>
    </row>
    <row r="23" spans="1:5" x14ac:dyDescent="0.3">
      <c r="A23">
        <v>3</v>
      </c>
    </row>
    <row r="26" spans="1:5" x14ac:dyDescent="0.3">
      <c r="A26">
        <v>4</v>
      </c>
    </row>
    <row r="28" spans="1:5" x14ac:dyDescent="0.3">
      <c r="E28">
        <v>9</v>
      </c>
    </row>
    <row r="33" spans="1:5" x14ac:dyDescent="0.3">
      <c r="A33">
        <v>5</v>
      </c>
    </row>
    <row r="42" spans="1:5" x14ac:dyDescent="0.3">
      <c r="E42">
        <v>10</v>
      </c>
    </row>
  </sheetData>
  <mergeCells count="2">
    <mergeCell ref="A10:B10"/>
    <mergeCell ref="Q12:S1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33CD-33BD-4AC8-A53A-0F4412D7504C}">
  <dimension ref="A1:U41"/>
  <sheetViews>
    <sheetView topLeftCell="B1" workbookViewId="0">
      <selection activeCell="C11" sqref="C11"/>
    </sheetView>
  </sheetViews>
  <sheetFormatPr baseColWidth="10" defaultColWidth="11.44140625" defaultRowHeight="14.4" x14ac:dyDescent="0.3"/>
  <cols>
    <col min="2" max="2" width="57.88671875" bestFit="1" customWidth="1"/>
    <col min="3" max="3" width="14.6640625" bestFit="1" customWidth="1"/>
    <col min="4" max="4" width="7.88671875" bestFit="1" customWidth="1"/>
    <col min="5" max="6" width="12.6640625" bestFit="1" customWidth="1"/>
    <col min="7" max="10" width="8.44140625" customWidth="1"/>
    <col min="16" max="16" width="10.109375" customWidth="1"/>
    <col min="17" max="17" width="13" bestFit="1" customWidth="1"/>
    <col min="18" max="18" width="13.6640625" bestFit="1" customWidth="1"/>
    <col min="19" max="19" width="13.33203125" bestFit="1" customWidth="1"/>
  </cols>
  <sheetData>
    <row r="1" spans="1:21" x14ac:dyDescent="0.3">
      <c r="A1" s="2" t="s">
        <v>0</v>
      </c>
      <c r="B1" s="8" t="s">
        <v>1</v>
      </c>
      <c r="C1" s="2"/>
      <c r="D1" t="s">
        <v>27</v>
      </c>
    </row>
    <row r="2" spans="1:21" x14ac:dyDescent="0.3">
      <c r="A2" s="2">
        <v>1</v>
      </c>
      <c r="B2" s="8" t="s">
        <v>2</v>
      </c>
      <c r="C2" s="2">
        <v>292</v>
      </c>
    </row>
    <row r="3" spans="1:21" x14ac:dyDescent="0.3">
      <c r="A3" s="2">
        <v>2</v>
      </c>
      <c r="B3" s="8" t="s">
        <v>3</v>
      </c>
      <c r="C3" s="5">
        <v>259</v>
      </c>
    </row>
    <row r="4" spans="1:21" x14ac:dyDescent="0.3">
      <c r="A4" s="2">
        <v>3</v>
      </c>
      <c r="B4" s="8" t="s">
        <v>4</v>
      </c>
      <c r="C4" s="2">
        <v>0.13980000000000001</v>
      </c>
      <c r="D4" s="23">
        <f>C4*60</f>
        <v>8.3879999999999999</v>
      </c>
    </row>
    <row r="5" spans="1:21" x14ac:dyDescent="0.3">
      <c r="A5" s="2">
        <v>4</v>
      </c>
      <c r="B5" s="8" t="s">
        <v>5</v>
      </c>
      <c r="C5" s="22">
        <f>0.5894+1.5221+0.3542+0.2126+0.599+1.9621</f>
        <v>5.2393999999999998</v>
      </c>
    </row>
    <row r="6" spans="1:21" x14ac:dyDescent="0.3">
      <c r="A6" s="2">
        <v>5</v>
      </c>
      <c r="B6" s="8" t="s">
        <v>6</v>
      </c>
      <c r="C6" s="2">
        <f>4+7+3+2+3+7</f>
        <v>26</v>
      </c>
    </row>
    <row r="7" spans="1:21" x14ac:dyDescent="0.3">
      <c r="A7" s="2">
        <v>6</v>
      </c>
      <c r="B7" s="8" t="s">
        <v>7</v>
      </c>
      <c r="C7" s="2">
        <f>0.8835+1.2027+1.5559+0.3535</f>
        <v>3.9956</v>
      </c>
    </row>
    <row r="8" spans="1:21" x14ac:dyDescent="0.3">
      <c r="A8" s="2">
        <v>7</v>
      </c>
      <c r="B8" s="8" t="s">
        <v>8</v>
      </c>
      <c r="C8" s="2">
        <f>3+4+5+2</f>
        <v>14</v>
      </c>
      <c r="E8" t="s">
        <v>45</v>
      </c>
    </row>
    <row r="9" spans="1:21" ht="15" thickBot="1" x14ac:dyDescent="0.35">
      <c r="A9" s="2">
        <v>8</v>
      </c>
      <c r="B9" s="8" t="s">
        <v>46</v>
      </c>
      <c r="C9" s="28">
        <f>U11/C4</f>
        <v>0.74010491177873161</v>
      </c>
      <c r="E9" s="5">
        <f t="shared" ref="E9:U9" si="0">E11*60</f>
        <v>0.47400000000000003</v>
      </c>
      <c r="F9" s="5">
        <f t="shared" si="0"/>
        <v>1.8420000000000001</v>
      </c>
      <c r="G9" s="5">
        <f t="shared" si="0"/>
        <v>1.8180000000000001</v>
      </c>
      <c r="H9" s="5">
        <f t="shared" si="0"/>
        <v>2.7119999999999997</v>
      </c>
      <c r="I9" s="5">
        <f t="shared" si="0"/>
        <v>3.3359999999999999</v>
      </c>
      <c r="J9" s="5">
        <f t="shared" si="0"/>
        <v>0.77400000000000002</v>
      </c>
      <c r="K9" s="5">
        <f t="shared" si="0"/>
        <v>2.1659999999999999</v>
      </c>
      <c r="L9" s="5">
        <f t="shared" si="0"/>
        <v>5.1959999999999997</v>
      </c>
      <c r="M9" s="5">
        <f t="shared" si="0"/>
        <v>1.3199999999999998</v>
      </c>
      <c r="N9" s="5">
        <f t="shared" si="0"/>
        <v>0.82799999999999996</v>
      </c>
      <c r="O9" s="5">
        <f t="shared" si="0"/>
        <v>2.214</v>
      </c>
      <c r="P9" s="5">
        <f t="shared" si="0"/>
        <v>5.4720000000000004</v>
      </c>
      <c r="Q9" s="12">
        <f t="shared" si="0"/>
        <v>2.4E-2</v>
      </c>
      <c r="R9" s="2">
        <f t="shared" si="0"/>
        <v>1.1580000000000001</v>
      </c>
      <c r="S9" s="9">
        <f t="shared" si="0"/>
        <v>2.1599999999999997</v>
      </c>
      <c r="T9" s="2">
        <f t="shared" si="0"/>
        <v>2.8660000000000005</v>
      </c>
      <c r="U9" s="2">
        <f t="shared" si="0"/>
        <v>6.2080000000000011</v>
      </c>
    </row>
    <row r="10" spans="1:21" x14ac:dyDescent="0.3">
      <c r="A10" s="50"/>
      <c r="B10" s="50"/>
      <c r="C10" s="5"/>
      <c r="E10" s="14" t="s">
        <v>47</v>
      </c>
      <c r="F10" s="15" t="s">
        <v>48</v>
      </c>
      <c r="G10" s="15" t="s">
        <v>49</v>
      </c>
      <c r="H10" s="15" t="s">
        <v>50</v>
      </c>
      <c r="I10" s="15" t="s">
        <v>51</v>
      </c>
      <c r="J10" s="15" t="s">
        <v>52</v>
      </c>
      <c r="K10" s="15" t="s">
        <v>53</v>
      </c>
      <c r="L10" s="15" t="s">
        <v>54</v>
      </c>
      <c r="M10" s="15" t="s">
        <v>20</v>
      </c>
      <c r="N10" s="15" t="s">
        <v>55</v>
      </c>
      <c r="O10" s="15" t="s">
        <v>56</v>
      </c>
      <c r="P10" s="15" t="s">
        <v>57</v>
      </c>
      <c r="Q10" s="16" t="s">
        <v>21</v>
      </c>
      <c r="R10" s="9" t="s">
        <v>58</v>
      </c>
      <c r="S10" s="9" t="s">
        <v>22</v>
      </c>
      <c r="T10" s="2" t="s">
        <v>23</v>
      </c>
      <c r="U10" s="2" t="s">
        <v>24</v>
      </c>
    </row>
    <row r="11" spans="1:21" x14ac:dyDescent="0.3">
      <c r="A11" s="2">
        <v>9</v>
      </c>
      <c r="B11" s="8" t="s">
        <v>31</v>
      </c>
      <c r="C11" s="6">
        <f>U11</f>
        <v>0.10346666666666668</v>
      </c>
      <c r="D11" s="24">
        <f>C11*60</f>
        <v>6.2080000000000011</v>
      </c>
      <c r="E11" s="17">
        <v>7.9000000000000008E-3</v>
      </c>
      <c r="F11" s="2">
        <v>3.0700000000000002E-2</v>
      </c>
      <c r="G11" s="2">
        <v>3.0300000000000001E-2</v>
      </c>
      <c r="H11" s="2">
        <v>4.5199999999999997E-2</v>
      </c>
      <c r="I11" s="2">
        <v>5.5599999999999997E-2</v>
      </c>
      <c r="J11" s="2">
        <v>1.29E-2</v>
      </c>
      <c r="K11" s="2">
        <v>3.61E-2</v>
      </c>
      <c r="L11" s="2">
        <v>8.6599999999999996E-2</v>
      </c>
      <c r="M11" s="2">
        <v>2.1999999999999999E-2</v>
      </c>
      <c r="N11" s="2">
        <v>1.38E-2</v>
      </c>
      <c r="O11" s="2">
        <v>3.6900000000000002E-2</v>
      </c>
      <c r="P11" s="2">
        <v>9.1200000000000003E-2</v>
      </c>
      <c r="Q11" s="18">
        <v>4.0000000000000002E-4</v>
      </c>
      <c r="R11" s="9">
        <f>(E11+F11)/2</f>
        <v>1.9300000000000001E-2</v>
      </c>
      <c r="S11" s="9">
        <f>(SUM(G11:J11))/4</f>
        <v>3.5999999999999997E-2</v>
      </c>
      <c r="T11" s="2">
        <f>(SUM(K11:P11))/6</f>
        <v>4.7766666666666673E-2</v>
      </c>
      <c r="U11" s="2">
        <f>SUM(Q11:T11)</f>
        <v>0.10346666666666668</v>
      </c>
    </row>
    <row r="12" spans="1:21" ht="15" thickBot="1" x14ac:dyDescent="0.35">
      <c r="A12" s="2">
        <v>10</v>
      </c>
      <c r="B12" s="8" t="s">
        <v>28</v>
      </c>
      <c r="C12" s="29">
        <f>SUM(E12:Q12)</f>
        <v>8.5306999999999995</v>
      </c>
      <c r="E12" s="19">
        <v>0.37619999999999998</v>
      </c>
      <c r="F12" s="20">
        <v>0.54990000000000006</v>
      </c>
      <c r="G12" s="20">
        <v>0.81630000000000003</v>
      </c>
      <c r="H12" s="20">
        <v>0.84</v>
      </c>
      <c r="I12" s="20">
        <v>0.82520000000000004</v>
      </c>
      <c r="J12" s="20">
        <v>0.76990000000000003</v>
      </c>
      <c r="K12" s="20">
        <v>0.57050000000000001</v>
      </c>
      <c r="L12" s="20">
        <v>0.61499999999999999</v>
      </c>
      <c r="M12" s="20">
        <v>0.70279999999999998</v>
      </c>
      <c r="N12" s="20">
        <v>0.63380000000000003</v>
      </c>
      <c r="O12" s="20">
        <v>0.67979999999999996</v>
      </c>
      <c r="P12" s="20">
        <v>0.87839999999999996</v>
      </c>
      <c r="Q12" s="21">
        <v>0.27289999999999998</v>
      </c>
    </row>
    <row r="14" spans="1:21" x14ac:dyDescent="0.3">
      <c r="A14">
        <v>1</v>
      </c>
      <c r="E14">
        <v>9</v>
      </c>
    </row>
    <row r="17" spans="1:5" x14ac:dyDescent="0.3">
      <c r="A17">
        <v>2</v>
      </c>
    </row>
    <row r="20" spans="1:5" x14ac:dyDescent="0.3">
      <c r="A20">
        <v>3</v>
      </c>
    </row>
    <row r="22" spans="1:5" x14ac:dyDescent="0.3">
      <c r="A22">
        <v>4</v>
      </c>
    </row>
    <row r="28" spans="1:5" x14ac:dyDescent="0.3">
      <c r="E28">
        <v>10</v>
      </c>
    </row>
    <row r="29" spans="1:5" x14ac:dyDescent="0.3">
      <c r="A29">
        <v>5</v>
      </c>
    </row>
    <row r="36" spans="1:1" x14ac:dyDescent="0.3">
      <c r="A36">
        <v>6</v>
      </c>
    </row>
    <row r="41" spans="1:1" x14ac:dyDescent="0.3">
      <c r="A41">
        <v>7</v>
      </c>
    </row>
  </sheetData>
  <mergeCells count="1">
    <mergeCell ref="A10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AE43-6FCD-447C-A7B4-3BE615413CAC}">
  <dimension ref="B2:H17"/>
  <sheetViews>
    <sheetView tabSelected="1" workbookViewId="0">
      <selection activeCell="J12" sqref="J12"/>
    </sheetView>
  </sheetViews>
  <sheetFormatPr baseColWidth="10" defaultColWidth="11.44140625" defaultRowHeight="14.4" x14ac:dyDescent="0.3"/>
  <cols>
    <col min="2" max="2" width="2.88671875" bestFit="1" customWidth="1"/>
    <col min="3" max="3" width="36.44140625" bestFit="1" customWidth="1"/>
    <col min="4" max="4" width="13.109375" bestFit="1" customWidth="1"/>
    <col min="5" max="7" width="13" bestFit="1" customWidth="1"/>
    <col min="8" max="8" width="12.44140625" bestFit="1" customWidth="1"/>
  </cols>
  <sheetData>
    <row r="2" spans="2:8" x14ac:dyDescent="0.3">
      <c r="B2" s="8" t="s">
        <v>0</v>
      </c>
      <c r="C2" s="2" t="s">
        <v>1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2:8" x14ac:dyDescent="0.3">
      <c r="B3" s="8">
        <v>1</v>
      </c>
      <c r="C3" s="2" t="s">
        <v>2</v>
      </c>
      <c r="D3" s="34">
        <f>'Escenario Base'!C2</f>
        <v>306</v>
      </c>
      <c r="E3" s="2">
        <f>Escenario1!C2</f>
        <v>299</v>
      </c>
      <c r="F3" s="2">
        <f>'Escenario 3'!C2</f>
        <v>292</v>
      </c>
      <c r="G3" s="26">
        <f>'Escenario 3'!C2</f>
        <v>292</v>
      </c>
    </row>
    <row r="4" spans="2:8" x14ac:dyDescent="0.3">
      <c r="B4" s="8">
        <v>2</v>
      </c>
      <c r="C4" s="2" t="s">
        <v>3</v>
      </c>
      <c r="D4" s="2">
        <f>'Escenario Base'!C3</f>
        <v>247</v>
      </c>
      <c r="E4" s="2">
        <f>Escenario1!C3</f>
        <v>247</v>
      </c>
      <c r="F4" s="34">
        <f>'Escenario 2'!C3</f>
        <v>261</v>
      </c>
      <c r="G4" s="26">
        <f>'Escenario 3'!C3</f>
        <v>259</v>
      </c>
    </row>
    <row r="5" spans="2:8" x14ac:dyDescent="0.3">
      <c r="B5" s="8">
        <v>3</v>
      </c>
      <c r="C5" s="2" t="s">
        <v>4</v>
      </c>
      <c r="D5" s="2">
        <f>'Escenario Base'!C4</f>
        <v>0.26</v>
      </c>
      <c r="E5" s="4">
        <f>Escenario1!C4</f>
        <v>0.1552</v>
      </c>
      <c r="F5" s="2">
        <f>'Escenario 2'!C4</f>
        <v>0.182</v>
      </c>
      <c r="G5" s="35">
        <f>'Escenario 3'!C4</f>
        <v>0.13980000000000001</v>
      </c>
    </row>
    <row r="6" spans="2:8" x14ac:dyDescent="0.3">
      <c r="B6" s="8">
        <v>4</v>
      </c>
      <c r="C6" s="2" t="s">
        <v>5</v>
      </c>
      <c r="D6" s="2">
        <f>'Escenario Base'!C5</f>
        <v>16.763399999999997</v>
      </c>
      <c r="E6" s="4">
        <f>Escenario1!C5</f>
        <v>14.336299999999998</v>
      </c>
      <c r="F6" s="4">
        <f>'Escenario 2'!C5</f>
        <v>8.7234000000000016</v>
      </c>
      <c r="G6" s="35">
        <f>'Escenario 3'!C5</f>
        <v>5.2393999999999998</v>
      </c>
    </row>
    <row r="7" spans="2:8" x14ac:dyDescent="0.3">
      <c r="B7" s="8">
        <v>5</v>
      </c>
      <c r="C7" s="2" t="s">
        <v>6</v>
      </c>
      <c r="D7" s="2">
        <f>'Escenario Base'!C6</f>
        <v>42</v>
      </c>
      <c r="E7" s="2">
        <f>Escenario1!C6</f>
        <v>37</v>
      </c>
      <c r="F7" s="34">
        <f>'Escenario 2'!C6</f>
        <v>19</v>
      </c>
      <c r="G7" s="26">
        <f>'Escenario 3'!C6</f>
        <v>26</v>
      </c>
    </row>
    <row r="8" spans="2:8" x14ac:dyDescent="0.3">
      <c r="B8" s="8">
        <v>6</v>
      </c>
      <c r="C8" s="2" t="s">
        <v>7</v>
      </c>
      <c r="D8" s="4">
        <f>'Escenario Base'!C7</f>
        <v>10.6999</v>
      </c>
      <c r="E8" s="35">
        <f>Escenario1!C7</f>
        <v>1.8317000000000001</v>
      </c>
      <c r="F8" s="4">
        <f>'Escenario 2'!C7</f>
        <v>7.8750999999999998</v>
      </c>
      <c r="G8" s="4">
        <f>'Escenario 3'!C7</f>
        <v>3.9956</v>
      </c>
    </row>
    <row r="9" spans="2:8" x14ac:dyDescent="0.3">
      <c r="B9" s="8">
        <v>7</v>
      </c>
      <c r="C9" s="2" t="s">
        <v>8</v>
      </c>
      <c r="D9" s="2">
        <f>'Escenario Base'!C8</f>
        <v>28</v>
      </c>
      <c r="E9" s="2">
        <f>Escenario1!C8</f>
        <v>15</v>
      </c>
      <c r="F9" s="2">
        <f>'Escenario 2'!C8</f>
        <v>20</v>
      </c>
      <c r="G9" s="36">
        <f>'Escenario 3'!C8</f>
        <v>14</v>
      </c>
    </row>
    <row r="10" spans="2:8" x14ac:dyDescent="0.3">
      <c r="B10" s="8">
        <v>8</v>
      </c>
      <c r="C10" s="2" t="s">
        <v>63</v>
      </c>
      <c r="D10" s="10">
        <f>'Escenario Base'!C9</f>
        <v>1.5056730769230768</v>
      </c>
      <c r="E10" s="13">
        <f>Escenario1!C9</f>
        <v>1.1481958762886597</v>
      </c>
      <c r="F10" s="13">
        <f>'Escenario 2'!$C$9</f>
        <v>1.5217032967032968</v>
      </c>
      <c r="G10" s="37">
        <f>'Escenario 3'!C9</f>
        <v>0.74010491177873161</v>
      </c>
    </row>
    <row r="11" spans="2:8" x14ac:dyDescent="0.3">
      <c r="B11" s="8">
        <v>9</v>
      </c>
      <c r="C11" s="2" t="s">
        <v>31</v>
      </c>
      <c r="D11" s="3">
        <f>'Escenario Base'!R11</f>
        <v>0.39147500000000002</v>
      </c>
      <c r="E11" s="4">
        <f>Escenario1!Q11</f>
        <v>0.34950833333333331</v>
      </c>
      <c r="F11" s="4">
        <f>'Escenario 2'!$T$11</f>
        <v>0.27695000000000003</v>
      </c>
      <c r="G11" s="35">
        <f>'Escenario 3'!C11</f>
        <v>0.10346666666666668</v>
      </c>
    </row>
    <row r="12" spans="2:8" x14ac:dyDescent="0.3">
      <c r="B12" s="8">
        <v>10</v>
      </c>
      <c r="C12" s="2" t="s">
        <v>28</v>
      </c>
      <c r="D12" s="13">
        <f>'Escenario Base'!R13</f>
        <v>7.8692580000000012</v>
      </c>
      <c r="E12" s="13">
        <f>Escenario1!Q12</f>
        <v>656.5630000000001</v>
      </c>
      <c r="F12" s="39">
        <f>'Escenario 2'!T12</f>
        <v>7.2679339999999995</v>
      </c>
      <c r="G12" s="13">
        <f>'Escenario 3'!C12</f>
        <v>8.5306999999999995</v>
      </c>
    </row>
    <row r="13" spans="2:8" x14ac:dyDescent="0.3">
      <c r="B13" s="8">
        <v>11</v>
      </c>
      <c r="C13" s="2" t="s">
        <v>64</v>
      </c>
      <c r="D13" s="30"/>
      <c r="E13" s="30">
        <f>(D11-E11)/D11</f>
        <v>0.10720139642803936</v>
      </c>
      <c r="F13" s="30">
        <f>(D11-F11)/D11</f>
        <v>0.29254741682099744</v>
      </c>
      <c r="G13" s="40">
        <f>(D11-G11)/D11</f>
        <v>0.73570044915596988</v>
      </c>
    </row>
    <row r="14" spans="2:8" x14ac:dyDescent="0.3">
      <c r="B14" s="8">
        <v>12</v>
      </c>
      <c r="C14" s="2" t="s">
        <v>65</v>
      </c>
      <c r="D14" s="11">
        <f>D4/D3</f>
        <v>0.80718954248366015</v>
      </c>
      <c r="E14" s="11">
        <f>E4/E3</f>
        <v>0.82608695652173914</v>
      </c>
      <c r="F14" s="37">
        <f t="shared" ref="F14:G14" si="0">F4/F3</f>
        <v>0.89383561643835618</v>
      </c>
      <c r="G14" s="11">
        <f t="shared" si="0"/>
        <v>0.88698630136986301</v>
      </c>
    </row>
    <row r="15" spans="2:8" x14ac:dyDescent="0.3">
      <c r="B15" s="12">
        <v>13</v>
      </c>
      <c r="C15" s="2" t="s">
        <v>66</v>
      </c>
      <c r="D15" s="26">
        <f>D4/2</f>
        <v>123.5</v>
      </c>
      <c r="E15" s="26">
        <f>E4/2</f>
        <v>123.5</v>
      </c>
      <c r="F15" s="36">
        <f>F4/2</f>
        <v>130.5</v>
      </c>
      <c r="G15" s="26">
        <f>G4/2</f>
        <v>129.5</v>
      </c>
      <c r="H15" t="s">
        <v>67</v>
      </c>
    </row>
    <row r="16" spans="2:8" x14ac:dyDescent="0.3">
      <c r="B16" s="2">
        <v>14</v>
      </c>
      <c r="C16" s="33" t="s">
        <v>68</v>
      </c>
      <c r="D16" s="41">
        <f>D4/11</f>
        <v>22.454545454545453</v>
      </c>
      <c r="E16" s="42">
        <f>E4/7</f>
        <v>35.285714285714285</v>
      </c>
      <c r="F16" s="41">
        <f>F4/13</f>
        <v>20.076923076923077</v>
      </c>
      <c r="G16" s="41">
        <f>G4/11</f>
        <v>23.545454545454547</v>
      </c>
    </row>
    <row r="17" spans="2:7" x14ac:dyDescent="0.3">
      <c r="B17" s="8">
        <v>15</v>
      </c>
      <c r="C17" s="31" t="s">
        <v>69</v>
      </c>
      <c r="D17" s="32">
        <f>((D4*0.69)*(141))+(D4*100)</f>
        <v>48730.63</v>
      </c>
      <c r="E17" s="32">
        <f>((E4*0.69)*(141))+(E4*100)</f>
        <v>48730.63</v>
      </c>
      <c r="F17" s="43">
        <f>((F4*0.69)*(141))+(F4*100)</f>
        <v>51492.689999999995</v>
      </c>
      <c r="G17" s="32">
        <f>((G4*0.69)*(141))+(G4*100)</f>
        <v>51098.11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3FDE5D0F4A24CA0453620BD96CDA2" ma:contentTypeVersion="17" ma:contentTypeDescription="Crear nuevo documento." ma:contentTypeScope="" ma:versionID="42f114f374732ed4b3b6a39feb90b9f3">
  <xsd:schema xmlns:xsd="http://www.w3.org/2001/XMLSchema" xmlns:xs="http://www.w3.org/2001/XMLSchema" xmlns:p="http://schemas.microsoft.com/office/2006/metadata/properties" xmlns:ns3="4d6f776b-67d5-40f0-98d9-a813a0c55b9b" xmlns:ns4="1b2ff5cc-93c8-4539-a1ab-fd274b3ab99e" targetNamespace="http://schemas.microsoft.com/office/2006/metadata/properties" ma:root="true" ma:fieldsID="947c805a01193fa9f99659660fba59a6" ns3:_="" ns4:_="">
    <xsd:import namespace="4d6f776b-67d5-40f0-98d9-a813a0c55b9b"/>
    <xsd:import namespace="1b2ff5cc-93c8-4539-a1ab-fd274b3ab99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f776b-67d5-40f0-98d9-a813a0c55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ff5cc-93c8-4539-a1ab-fd274b3ab9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2ff5cc-93c8-4539-a1ab-fd274b3ab99e" xsi:nil="true"/>
  </documentManagement>
</p:properties>
</file>

<file path=customXml/itemProps1.xml><?xml version="1.0" encoding="utf-8"?>
<ds:datastoreItem xmlns:ds="http://schemas.openxmlformats.org/officeDocument/2006/customXml" ds:itemID="{B6F62F30-FCF2-41CB-AB61-79763D12DA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3EC17B-6D00-4402-8279-1F2F63C15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f776b-67d5-40f0-98d9-a813a0c55b9b"/>
    <ds:schemaRef ds:uri="1b2ff5cc-93c8-4539-a1ab-fd274b3ab9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62EF43-D97F-48F7-ACD4-166D27E1BA4C}">
  <ds:schemaRefs>
    <ds:schemaRef ds:uri="http://schemas.microsoft.com/office/2006/metadata/properties"/>
    <ds:schemaRef ds:uri="http://schemas.microsoft.com/office/infopath/2007/PartnerControls"/>
    <ds:schemaRef ds:uri="1b2ff5cc-93c8-4539-a1ab-fd274b3ab9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Escenario Base</vt:lpstr>
      <vt:lpstr>Escenario1</vt:lpstr>
      <vt:lpstr>Escenario 2</vt:lpstr>
      <vt:lpstr>Escenario 3</vt:lpstr>
      <vt:lpstr>Tabla 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EMILIO PEREIRA TORRES</dc:creator>
  <cp:keywords/>
  <dc:description/>
  <cp:lastModifiedBy>RODRIGO EMILIO PEREIRA TORRES</cp:lastModifiedBy>
  <cp:revision/>
  <dcterms:created xsi:type="dcterms:W3CDTF">2026-05-20T07:15:30Z</dcterms:created>
  <dcterms:modified xsi:type="dcterms:W3CDTF">2026-05-20T23:46:33Z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0x0101009AE3FDE5D0F4A24CA0453620BD96CDA2</vt:lpwstr>
  </property>
</Properties>
</file>